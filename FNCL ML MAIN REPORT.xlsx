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125" tabRatio="600" firstSheet="0" activeTab="0" autoFilterDateGrouping="1"/>
  </bookViews>
  <sheets>
    <sheet name="Funds_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9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3" fontId="1" fillId="0" borderId="0"/>
  </cellStyleXfs>
  <cellXfs count="47">
    <xf numFmtId="0" fontId="0" fillId="0" borderId="0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1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1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14" fontId="23" fillId="0" borderId="0" applyAlignment="1" pivotButton="0" quotePrefix="0" xfId="0">
      <alignment horizontal="right" vertical="center"/>
    </xf>
    <xf numFmtId="0" fontId="0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164" fontId="0" fillId="0" borderId="10" applyAlignment="1" pivotButton="0" quotePrefix="0" xfId="42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center" wrapText="1"/>
    </xf>
    <xf numFmtId="4" fontId="0" fillId="0" borderId="11" applyAlignment="1" pivotButton="0" quotePrefix="0" xfId="0">
      <alignment horizontal="center" vertical="center"/>
    </xf>
    <xf numFmtId="4" fontId="0" fillId="0" borderId="10" applyAlignment="1" pivotButton="0" quotePrefix="0" xfId="0">
      <alignment horizontal="center" vertical="center"/>
    </xf>
    <xf numFmtId="4" fontId="0" fillId="0" borderId="12" applyAlignment="1" pivotButton="0" quotePrefix="0" xfId="0">
      <alignment horizontal="center" vertical="center"/>
    </xf>
    <xf numFmtId="4" fontId="0" fillId="0" borderId="10" applyAlignment="1" pivotButton="0" quotePrefix="0" xfId="42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/>
    </xf>
    <xf numFmtId="14" fontId="0" fillId="0" borderId="10" applyAlignment="1" pivotButton="0" quotePrefix="0" xfId="0">
      <alignment horizontal="center" vertical="center" wrapText="1"/>
    </xf>
    <xf numFmtId="14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2" pivotButton="0" quotePrefix="0" xfId="0"/>
    <xf numFmtId="164" fontId="0" fillId="0" borderId="10" applyAlignment="1" pivotButton="0" quotePrefix="0" xfId="42">
      <alignment horizontal="center" vertical="center"/>
    </xf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Comma" xfId="4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01"/>
  <sheetViews>
    <sheetView showGridLines="0" tabSelected="1" topLeftCell="A138" zoomScale="85" zoomScaleNormal="85" workbookViewId="0">
      <selection activeCell="I73" sqref="I73:I74"/>
    </sheetView>
  </sheetViews>
  <sheetFormatPr baseColWidth="8" defaultRowHeight="14.75" outlineLevelRow="1"/>
  <cols>
    <col width="3.90625" customWidth="1" style="6" min="1" max="1"/>
    <col width="6.86328125" customWidth="1" style="6" min="2" max="2"/>
    <col width="5.90625" customWidth="1" style="6" min="3" max="3"/>
    <col width="25.2265625" customWidth="1" style="6" min="4" max="4"/>
    <col width="3.90625" customWidth="1" style="6" min="5" max="5"/>
    <col width="12.36328125" customWidth="1" style="6" min="6" max="6"/>
    <col width="13.08984375" customWidth="1" style="6" min="7" max="7"/>
    <col width="3.90625" customWidth="1" style="6" min="8" max="8"/>
    <col width="10.5" customWidth="1" style="6" min="9" max="9"/>
    <col width="3.90625" customWidth="1" style="6" min="10" max="10"/>
    <col width="12.36328125" customWidth="1" style="6" min="11" max="11"/>
    <col width="3.90625" customWidth="1" style="6" min="12" max="12"/>
    <col width="12.36328125" customWidth="1" style="6" min="13" max="13"/>
    <col width="13.36328125" customWidth="1" style="6" min="14" max="14"/>
    <col width="3.90625" customWidth="1" style="6" min="15" max="15"/>
    <col width="15.26953125" customWidth="1" style="6" min="16" max="16"/>
    <col width="7.26953125" customWidth="1" style="6" min="17" max="17"/>
  </cols>
  <sheetData>
    <row r="1" ht="26.15" customHeight="1">
      <c r="A1" s="35" t="inlineStr">
        <is>
          <t>TOTAL INVESTMENT WITH MANULIFE INVESTMENT MANAGEMENT AS AT</t>
        </is>
      </c>
      <c r="O1" s="15" t="inlineStr">
        <is>
          <t>DATE :</t>
        </is>
      </c>
      <c r="P1" s="34" t="n">
        <v>45303</v>
      </c>
    </row>
    <row r="2" ht="9" customHeight="1"/>
    <row r="3" ht="17.15" customHeight="1">
      <c r="D3" s="13" t="inlineStr">
        <is>
          <t xml:space="preserve">ACCOUNT HOLDER : </t>
        </is>
      </c>
      <c r="E3" s="28" t="n"/>
      <c r="K3" s="12" t="n"/>
      <c r="L3" s="12" t="n"/>
      <c r="M3" s="14" t="n"/>
      <c r="N3" s="13" t="inlineStr">
        <is>
          <t xml:space="preserve">ACCOUNT NO : </t>
        </is>
      </c>
      <c r="O3" s="28" t="n"/>
    </row>
    <row r="4" ht="17.15" customHeight="1">
      <c r="D4" s="13" t="inlineStr">
        <is>
          <t xml:space="preserve">JOINT HOLDER : </t>
        </is>
      </c>
      <c r="E4" s="28" t="n"/>
      <c r="K4" s="12" t="n"/>
      <c r="L4" s="12" t="n"/>
      <c r="M4" s="14" t="n"/>
      <c r="N4" s="13" t="inlineStr">
        <is>
          <t xml:space="preserve">INVESTMENT TYPE : </t>
        </is>
      </c>
      <c r="O4" s="28" t="n"/>
    </row>
    <row r="6" ht="14.4" customHeight="1">
      <c r="A6" s="29" t="inlineStr">
        <is>
          <t>AVERAGE COST</t>
        </is>
      </c>
      <c r="B6" s="39" t="n"/>
      <c r="C6" s="29" t="inlineStr">
        <is>
          <t>FUND NO</t>
        </is>
      </c>
      <c r="D6" s="26" t="inlineStr">
        <is>
          <t>FUND NAME</t>
        </is>
      </c>
      <c r="E6" s="29" t="inlineStr">
        <is>
          <t>TOTAL AMOUNT INVESTED</t>
        </is>
      </c>
      <c r="F6" s="39" t="n"/>
      <c r="G6" s="29" t="inlineStr">
        <is>
          <t>TOTAL UNIT ACCUMULATED</t>
        </is>
      </c>
      <c r="H6" s="29" t="inlineStr">
        <is>
          <t>NAV AS AT</t>
        </is>
      </c>
      <c r="I6" s="40" t="n"/>
      <c r="J6" s="29" t="inlineStr">
        <is>
          <t>CURRENT    VALUE</t>
        </is>
      </c>
      <c r="K6" s="39" t="n"/>
      <c r="L6" s="29" t="inlineStr">
        <is>
          <t>PROFIT &amp; LOST</t>
        </is>
      </c>
      <c r="M6" s="39" t="n"/>
      <c r="N6" s="29" t="inlineStr">
        <is>
          <t>PERCENTAGE</t>
        </is>
      </c>
      <c r="O6" s="29" t="inlineStr">
        <is>
          <t>DISTRIBUTION DECLARED THIS YEAR</t>
        </is>
      </c>
      <c r="P6" s="39" t="n"/>
      <c r="Q6" s="29" t="inlineStr">
        <is>
          <t>DIS MONTH</t>
        </is>
      </c>
    </row>
    <row r="7">
      <c r="A7" s="41" t="n"/>
      <c r="B7" s="42" t="n"/>
      <c r="C7" s="43" t="n"/>
      <c r="D7" s="43" t="n"/>
      <c r="E7" s="41" t="n"/>
      <c r="F7" s="42" t="n"/>
      <c r="G7" s="43" t="n"/>
      <c r="H7" s="33">
        <f>P1</f>
        <v/>
      </c>
      <c r="I7" s="40" t="n"/>
      <c r="J7" s="41" t="n"/>
      <c r="K7" s="42" t="n"/>
      <c r="L7" s="41" t="n"/>
      <c r="M7" s="42" t="n"/>
      <c r="N7" s="43" t="n"/>
      <c r="O7" s="41" t="n"/>
      <c r="P7" s="42" t="n"/>
      <c r="Q7" s="43" t="n"/>
    </row>
    <row r="8">
      <c r="A8" s="1" t="inlineStr">
        <is>
          <t>RM</t>
        </is>
      </c>
      <c r="B8" s="2">
        <f>IF(ISERROR(F8/G8)," ",F8/G8)</f>
        <v/>
      </c>
      <c r="C8" s="1" t="n">
        <v>1</v>
      </c>
      <c r="D8" s="19" t="inlineStr">
        <is>
          <t>GROWTH</t>
        </is>
      </c>
      <c r="E8" s="1" t="inlineStr">
        <is>
          <t>RM</t>
        </is>
      </c>
      <c r="F8" s="1" t="n"/>
      <c r="G8" s="1" t="n"/>
      <c r="H8" s="1" t="inlineStr">
        <is>
          <t>RM</t>
        </is>
      </c>
      <c r="I8" s="1" t="n"/>
      <c r="J8" s="1" t="inlineStr">
        <is>
          <t>RM</t>
        </is>
      </c>
      <c r="K8" s="2">
        <f>IF(OR(G8="",I8=""),"",G8*I8)</f>
        <v/>
      </c>
      <c r="L8" s="1" t="inlineStr">
        <is>
          <t>RM</t>
        </is>
      </c>
      <c r="M8" s="2">
        <f>IF(ISERROR(K8-F8)," ",K8-F8)</f>
        <v/>
      </c>
      <c r="N8" s="2">
        <f>IF(ISERROR(M8/F8),"",IF(M8/F8=-1,"-",M8/F8))</f>
        <v/>
      </c>
      <c r="O8" s="1" t="inlineStr">
        <is>
          <t>RM</t>
        </is>
      </c>
      <c r="P8" s="22" t="n"/>
      <c r="Q8" s="1" t="inlineStr">
        <is>
          <t>Aug</t>
        </is>
      </c>
    </row>
    <row r="9">
      <c r="A9" s="26" t="inlineStr">
        <is>
          <t>RM</t>
        </is>
      </c>
      <c r="B9" s="4">
        <f>IF(ISERROR(F9/G9)," ",F9/G9)</f>
        <v/>
      </c>
      <c r="C9" s="26" t="n">
        <v>2</v>
      </c>
      <c r="D9" s="30" t="inlineStr">
        <is>
          <t>PROGRESS</t>
        </is>
      </c>
      <c r="E9" s="26" t="inlineStr">
        <is>
          <t>RM</t>
        </is>
      </c>
      <c r="F9" s="26" t="n"/>
      <c r="G9" s="26" t="n"/>
      <c r="H9" s="26" t="inlineStr">
        <is>
          <t>RM</t>
        </is>
      </c>
      <c r="I9" s="26" t="n"/>
      <c r="J9" s="26" t="inlineStr">
        <is>
          <t>RM</t>
        </is>
      </c>
      <c r="K9" s="4">
        <f>IF(OR(G9="",I9=""),"",G9*I9)</f>
        <v/>
      </c>
      <c r="L9" s="26" t="inlineStr">
        <is>
          <t>RM</t>
        </is>
      </c>
      <c r="M9" s="4">
        <f>IF(ISERROR(K9-F9)," ",K9-F9)</f>
        <v/>
      </c>
      <c r="N9" s="2">
        <f>IF(ISERROR(M9/F9),"",IF(M9/F9=-1,"-",M9/F9))</f>
        <v/>
      </c>
      <c r="O9" s="26" t="inlineStr">
        <is>
          <t>RM</t>
        </is>
      </c>
      <c r="P9" s="23" t="n"/>
      <c r="Q9" s="26" t="inlineStr">
        <is>
          <t>Aug</t>
        </is>
      </c>
    </row>
    <row r="10">
      <c r="A10" s="26" t="inlineStr">
        <is>
          <t>RM</t>
        </is>
      </c>
      <c r="B10" s="4">
        <f>IF(ISERROR(F10/G10)," ",F10/G10)</f>
        <v/>
      </c>
      <c r="C10" s="26" t="n">
        <v>3</v>
      </c>
      <c r="D10" s="30" t="inlineStr">
        <is>
          <t>BOND</t>
        </is>
      </c>
      <c r="E10" s="26" t="inlineStr">
        <is>
          <t>RM</t>
        </is>
      </c>
      <c r="F10" s="26" t="n"/>
      <c r="G10" s="26" t="n"/>
      <c r="H10" s="26" t="inlineStr">
        <is>
          <t>RM</t>
        </is>
      </c>
      <c r="I10" s="26" t="n"/>
      <c r="J10" s="26" t="inlineStr">
        <is>
          <t>RM</t>
        </is>
      </c>
      <c r="K10" s="4">
        <f>IF(OR(G10="",I10=""),"",G10*I10)</f>
        <v/>
      </c>
      <c r="L10" s="26" t="inlineStr">
        <is>
          <t>RM</t>
        </is>
      </c>
      <c r="M10" s="4">
        <f>IF(ISERROR(K10-F10)," ",K10-F10)</f>
        <v/>
      </c>
      <c r="N10" s="2">
        <f>IF(ISERROR(M10/F10),"",IF(M10/F10=-1,"-",M10/F10))</f>
        <v/>
      </c>
      <c r="O10" s="26" t="inlineStr">
        <is>
          <t>RM</t>
        </is>
      </c>
      <c r="P10" s="23" t="n"/>
      <c r="Q10" s="26" t="inlineStr">
        <is>
          <t>Nov</t>
        </is>
      </c>
    </row>
    <row r="11" hidden="1" outlineLevel="1">
      <c r="A11" s="26" t="inlineStr">
        <is>
          <t>RM</t>
        </is>
      </c>
      <c r="B11" s="4">
        <f>IF(ISERROR(F11/G11)," ",F11/G11)</f>
        <v/>
      </c>
      <c r="C11" s="26" t="n">
        <v>4</v>
      </c>
      <c r="D11" s="30" t="inlineStr">
        <is>
          <t>AL-FAID</t>
        </is>
      </c>
      <c r="E11" s="26" t="inlineStr">
        <is>
          <t>RM</t>
        </is>
      </c>
      <c r="F11" s="26" t="n"/>
      <c r="G11" s="26" t="n"/>
      <c r="H11" s="26" t="inlineStr">
        <is>
          <t>RM</t>
        </is>
      </c>
      <c r="I11" s="26" t="n"/>
      <c r="J11" s="26" t="inlineStr">
        <is>
          <t>RM</t>
        </is>
      </c>
      <c r="K11" s="4">
        <f>IF(OR(G11="",I11=""),"",G11*I11)</f>
        <v/>
      </c>
      <c r="L11" s="26" t="inlineStr">
        <is>
          <t>RM</t>
        </is>
      </c>
      <c r="M11" s="4">
        <f>IF(ISERROR(K11-F11)," ",K11-F11)</f>
        <v/>
      </c>
      <c r="N11" s="2">
        <f>IF(ISERROR(M11/F11),"",IF(M11/F11=-1,"-",M11/F11))</f>
        <v/>
      </c>
      <c r="O11" s="26" t="inlineStr">
        <is>
          <t>RM</t>
        </is>
      </c>
      <c r="P11" s="23" t="n"/>
      <c r="Q11" s="26" t="inlineStr">
        <is>
          <t>Aug</t>
        </is>
      </c>
    </row>
    <row r="12" collapsed="1">
      <c r="A12" s="26" t="inlineStr">
        <is>
          <t>RM</t>
        </is>
      </c>
      <c r="B12" s="4">
        <f>IF(ISERROR(F12/G12)," ",F12/G12)</f>
        <v/>
      </c>
      <c r="C12" s="26" t="n">
        <v>5</v>
      </c>
      <c r="D12" s="30" t="inlineStr">
        <is>
          <t>AS-SAAD</t>
        </is>
      </c>
      <c r="E12" s="26" t="inlineStr">
        <is>
          <t>RM</t>
        </is>
      </c>
      <c r="F12" s="26" t="n"/>
      <c r="G12" s="26" t="n"/>
      <c r="H12" s="26" t="inlineStr">
        <is>
          <t>RM</t>
        </is>
      </c>
      <c r="I12" s="26" t="n"/>
      <c r="J12" s="26" t="inlineStr">
        <is>
          <t>RM</t>
        </is>
      </c>
      <c r="K12" s="4">
        <f>IF(OR(G12="",I12=""),"",G12*I12)</f>
        <v/>
      </c>
      <c r="L12" s="26" t="inlineStr">
        <is>
          <t>RM</t>
        </is>
      </c>
      <c r="M12" s="4">
        <f>IF(ISERROR(K12-F12)," ",K12-F12)</f>
        <v/>
      </c>
      <c r="N12" s="2">
        <f>IF(ISERROR(M12/F12),"",IF(M12/F12=-1,"-",M12/F12))</f>
        <v/>
      </c>
      <c r="O12" s="26" t="inlineStr">
        <is>
          <t>RM</t>
        </is>
      </c>
      <c r="P12" s="23" t="n"/>
      <c r="Q12" s="26" t="inlineStr">
        <is>
          <t>Nov</t>
        </is>
      </c>
    </row>
    <row r="13" hidden="1" outlineLevel="1">
      <c r="A13" s="26" t="inlineStr">
        <is>
          <t>RM</t>
        </is>
      </c>
      <c r="B13" s="26">
        <f>IF(ISERROR(F13/G13)," ",F13/G13)</f>
        <v/>
      </c>
      <c r="C13" s="26" t="n">
        <v>8</v>
      </c>
      <c r="D13" s="30" t="inlineStr">
        <is>
          <t>BALANCED</t>
        </is>
      </c>
      <c r="E13" s="26" t="inlineStr">
        <is>
          <t>RM</t>
        </is>
      </c>
      <c r="F13" s="26" t="n"/>
      <c r="G13" s="26" t="n"/>
      <c r="H13" s="26" t="inlineStr">
        <is>
          <t>RM</t>
        </is>
      </c>
      <c r="I13" s="26" t="n"/>
      <c r="J13" s="26" t="inlineStr">
        <is>
          <t>RM</t>
        </is>
      </c>
      <c r="K13" s="26">
        <f>IF(OR(G13="",I13=""),"",G13*I13)</f>
        <v/>
      </c>
      <c r="L13" s="26" t="inlineStr">
        <is>
          <t>RM</t>
        </is>
      </c>
      <c r="M13" s="26">
        <f>IF(ISERROR(K13-F13)," ",K13-F13)</f>
        <v/>
      </c>
      <c r="N13" s="26">
        <f>IF(ISERROR(M13/F13),"",IF(M13/F13=-1,"-",M13/F13))</f>
        <v/>
      </c>
      <c r="O13" s="26" t="inlineStr">
        <is>
          <t>RM</t>
        </is>
      </c>
      <c r="P13" s="23" t="n"/>
      <c r="Q13" s="26" t="inlineStr">
        <is>
          <t>Jan</t>
        </is>
      </c>
    </row>
    <row r="14" hidden="1" outlineLevel="1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26" t="inlineStr">
        <is>
          <t>RM</t>
        </is>
      </c>
      <c r="P14" s="23" t="n"/>
      <c r="Q14" s="26" t="inlineStr">
        <is>
          <t>Jul</t>
        </is>
      </c>
    </row>
    <row r="15" collapsed="1">
      <c r="A15" s="26" t="inlineStr">
        <is>
          <t>RM</t>
        </is>
      </c>
      <c r="B15" s="4">
        <f>IF(ISERROR(F15/G15)," ",F15/G15)</f>
        <v/>
      </c>
      <c r="C15" s="26" t="n">
        <v>10</v>
      </c>
      <c r="D15" s="30" t="inlineStr">
        <is>
          <t>REGULAR SAVINGS</t>
        </is>
      </c>
      <c r="E15" s="26" t="inlineStr">
        <is>
          <t>RM</t>
        </is>
      </c>
      <c r="F15" s="26" t="n"/>
      <c r="G15" s="26" t="n"/>
      <c r="H15" s="26" t="inlineStr">
        <is>
          <t>RM</t>
        </is>
      </c>
      <c r="I15" s="26" t="n"/>
      <c r="J15" s="26" t="inlineStr">
        <is>
          <t>RM</t>
        </is>
      </c>
      <c r="K15" s="26">
        <f>IF(OR(G15="",I15=""),"",G15*I15)</f>
        <v/>
      </c>
      <c r="L15" s="26" t="inlineStr">
        <is>
          <t>RM</t>
        </is>
      </c>
      <c r="M15" s="26">
        <f>IF(ISERROR(K15-F15)," ",K15-F15)</f>
        <v/>
      </c>
      <c r="N15" s="2">
        <f>IF(ISERROR(M15/F15),"",IF(M15/F15=-1,"-",M15/F15))</f>
        <v/>
      </c>
      <c r="O15" s="26" t="inlineStr">
        <is>
          <t>RM</t>
        </is>
      </c>
      <c r="P15" s="23" t="n"/>
      <c r="Q15" s="26" t="inlineStr">
        <is>
          <t>Jul</t>
        </is>
      </c>
    </row>
    <row r="16">
      <c r="A16" s="26" t="inlineStr">
        <is>
          <t>RM</t>
        </is>
      </c>
      <c r="B16" s="4">
        <f>IF(ISERROR(F16/G16)," ",F16/G16)</f>
        <v/>
      </c>
      <c r="C16" s="26" t="n">
        <v>11</v>
      </c>
      <c r="D16" s="30" t="inlineStr">
        <is>
          <t>MONEY MARKET-CLASS A</t>
        </is>
      </c>
      <c r="E16" s="26" t="inlineStr">
        <is>
          <t>RM</t>
        </is>
      </c>
      <c r="F16" s="26" t="n"/>
      <c r="G16" s="26" t="n"/>
      <c r="H16" s="26" t="inlineStr">
        <is>
          <t>RM</t>
        </is>
      </c>
      <c r="I16" s="26" t="n"/>
      <c r="J16" s="26" t="inlineStr">
        <is>
          <t>RM</t>
        </is>
      </c>
      <c r="K16" s="26">
        <f>IF(OR(G16="",I16=""),"",G16*I16)</f>
        <v/>
      </c>
      <c r="L16" s="26" t="inlineStr">
        <is>
          <t>RM</t>
        </is>
      </c>
      <c r="M16" s="26">
        <f>IF(ISERROR(K16-F16)," ",K16-F16)</f>
        <v/>
      </c>
      <c r="N16" s="2">
        <f>IF(ISERROR(M16/F16),"",IF(M16/F16=-1,"-",M16/F16))</f>
        <v/>
      </c>
      <c r="O16" s="26" t="inlineStr">
        <is>
          <t>RM</t>
        </is>
      </c>
      <c r="P16" s="23" t="n"/>
      <c r="Q16" s="26" t="inlineStr">
        <is>
          <t>Nov</t>
        </is>
      </c>
    </row>
    <row r="17">
      <c r="A17" s="26" t="inlineStr">
        <is>
          <t>RM</t>
        </is>
      </c>
      <c r="B17" s="4">
        <f>IF(ISERROR(F17/G17)," ",F17/G17)</f>
        <v/>
      </c>
      <c r="C17" s="26" t="n">
        <v>12</v>
      </c>
      <c r="D17" s="30" t="inlineStr">
        <is>
          <t>ASIA-PACIFIC EX JAPAN FUND</t>
        </is>
      </c>
      <c r="E17" s="26" t="inlineStr">
        <is>
          <t>RM</t>
        </is>
      </c>
      <c r="F17" s="26" t="n"/>
      <c r="G17" s="26" t="n"/>
      <c r="H17" s="26" t="inlineStr">
        <is>
          <t>RM</t>
        </is>
      </c>
      <c r="I17" s="26" t="n"/>
      <c r="J17" s="26" t="inlineStr">
        <is>
          <t>RM</t>
        </is>
      </c>
      <c r="K17" s="26">
        <f>IF(OR(G17="",I17=""),"",G17*I17)</f>
        <v/>
      </c>
      <c r="L17" s="26" t="inlineStr">
        <is>
          <t>RM</t>
        </is>
      </c>
      <c r="M17" s="26">
        <f>IF(ISERROR(K17-F17)," ",K17-F17)</f>
        <v/>
      </c>
      <c r="N17" s="2">
        <f>IF(ISERROR(M17/F17),"",IF(M17/F17=-1,"-",M17/F17))</f>
        <v/>
      </c>
      <c r="O17" s="26" t="inlineStr">
        <is>
          <t>RM</t>
        </is>
      </c>
      <c r="P17" s="23" t="n"/>
      <c r="Q17" s="26" t="inlineStr">
        <is>
          <t>Oct</t>
        </is>
      </c>
    </row>
    <row r="18">
      <c r="A18" s="26" t="inlineStr">
        <is>
          <t>RM</t>
        </is>
      </c>
      <c r="B18" s="4">
        <f>IF(ISERROR(F18/G18)," ",F18/G18)</f>
        <v/>
      </c>
      <c r="C18" s="26" t="n">
        <v>13</v>
      </c>
      <c r="D18" s="30" t="inlineStr">
        <is>
          <t>ML FLEXI</t>
        </is>
      </c>
      <c r="E18" s="26" t="inlineStr">
        <is>
          <t>RM</t>
        </is>
      </c>
      <c r="F18" s="26" t="n"/>
      <c r="G18" s="26" t="n"/>
      <c r="H18" s="26" t="inlineStr">
        <is>
          <t>RM</t>
        </is>
      </c>
      <c r="I18" s="26" t="n"/>
      <c r="J18" s="26" t="inlineStr">
        <is>
          <t>RM</t>
        </is>
      </c>
      <c r="K18" s="26">
        <f>IF(OR(G18="",I18=""),"",G18*I18)</f>
        <v/>
      </c>
      <c r="L18" s="26" t="inlineStr">
        <is>
          <t>RM</t>
        </is>
      </c>
      <c r="M18" s="26">
        <f>IF(ISERROR(K18-F18)," ",K18-F18)</f>
        <v/>
      </c>
      <c r="N18" s="2">
        <f>IF(ISERROR(M18/F18),"",IF(M18/F18=-1,"-",M18/F18))</f>
        <v/>
      </c>
      <c r="O18" s="26" t="inlineStr">
        <is>
          <t>RM</t>
        </is>
      </c>
      <c r="P18" s="23" t="n"/>
      <c r="Q18" s="26" t="inlineStr">
        <is>
          <t>Apr</t>
        </is>
      </c>
    </row>
    <row r="19">
      <c r="A19" s="26" t="inlineStr">
        <is>
          <t>RM</t>
        </is>
      </c>
      <c r="B19" s="26">
        <f>IF(ISERROR(F19/G19)," ",F19/G19)</f>
        <v/>
      </c>
      <c r="C19" s="26" t="n">
        <v>14</v>
      </c>
      <c r="D19" s="30" t="inlineStr">
        <is>
          <t>AL-FAUZAN</t>
        </is>
      </c>
      <c r="E19" s="26" t="inlineStr">
        <is>
          <t>RM</t>
        </is>
      </c>
      <c r="F19" s="26" t="n"/>
      <c r="G19" s="26" t="n"/>
      <c r="H19" s="26" t="inlineStr">
        <is>
          <t>RM</t>
        </is>
      </c>
      <c r="I19" s="26" t="n"/>
      <c r="J19" s="26" t="inlineStr">
        <is>
          <t>RM</t>
        </is>
      </c>
      <c r="K19" s="26">
        <f>IF(OR(G19="",I19=""),"",G19*I19)</f>
        <v/>
      </c>
      <c r="L19" s="26" t="inlineStr">
        <is>
          <t>RM</t>
        </is>
      </c>
      <c r="M19" s="26">
        <f>IF(ISERROR(K19-F19)," ",K19-F19)</f>
        <v/>
      </c>
      <c r="N19" s="26">
        <f>IF(ISERROR(M19/F19),"",IF(M19/F19=-1,"-",M19/F19))</f>
        <v/>
      </c>
      <c r="O19" s="26" t="inlineStr">
        <is>
          <t>RM</t>
        </is>
      </c>
      <c r="P19" s="23" t="n"/>
      <c r="Q19" s="26" t="inlineStr">
        <is>
          <t>Apr</t>
        </is>
      </c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26" t="inlineStr">
        <is>
          <t>RM</t>
        </is>
      </c>
      <c r="P20" s="23" t="n"/>
      <c r="Q20" s="26" t="inlineStr">
        <is>
          <t>Oct</t>
        </is>
      </c>
    </row>
    <row r="21">
      <c r="A21" s="26" t="inlineStr">
        <is>
          <t>RM</t>
        </is>
      </c>
      <c r="B21" s="26">
        <f>IF(ISERROR(F21/G21)," ",F21/G21)</f>
        <v/>
      </c>
      <c r="C21" s="26" t="n">
        <v>15</v>
      </c>
      <c r="D21" s="30" t="inlineStr">
        <is>
          <t>DIVIDEND</t>
        </is>
      </c>
      <c r="E21" s="26" t="inlineStr">
        <is>
          <t>RM</t>
        </is>
      </c>
      <c r="F21" s="26" t="n"/>
      <c r="G21" s="26" t="n"/>
      <c r="H21" s="26" t="inlineStr">
        <is>
          <t>RM</t>
        </is>
      </c>
      <c r="I21" s="26" t="n"/>
      <c r="J21" s="26" t="inlineStr">
        <is>
          <t>RM</t>
        </is>
      </c>
      <c r="K21" s="26">
        <f>IF(OR(G21="",I21=""),"",G21*I21)</f>
        <v/>
      </c>
      <c r="L21" s="26" t="inlineStr">
        <is>
          <t>RM</t>
        </is>
      </c>
      <c r="M21" s="26">
        <f>IF(ISERROR(K21-F21)," ",K21-F21)</f>
        <v/>
      </c>
      <c r="N21" s="26">
        <f>IF(ISERROR(M21/F21),"",IF(M21/F21=-1,"-",M21/F21))</f>
        <v/>
      </c>
      <c r="O21" s="26" t="inlineStr">
        <is>
          <t>RM</t>
        </is>
      </c>
      <c r="P21" s="23" t="n"/>
      <c r="Q21" s="26" t="inlineStr">
        <is>
          <t>May</t>
        </is>
      </c>
    </row>
    <row r="22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26" t="inlineStr">
        <is>
          <t>RM</t>
        </is>
      </c>
      <c r="P22" s="23" t="n"/>
      <c r="Q22" s="26" t="inlineStr">
        <is>
          <t>Nov</t>
        </is>
      </c>
    </row>
    <row r="23">
      <c r="A23" s="26" t="inlineStr">
        <is>
          <t>RM</t>
        </is>
      </c>
      <c r="B23" s="26">
        <f>IF(ISERROR(F23/G23)," ",F23/G23)</f>
        <v/>
      </c>
      <c r="C23" s="26" t="n">
        <v>16</v>
      </c>
      <c r="D23" s="30" t="inlineStr">
        <is>
          <t>AL-UMRAN</t>
        </is>
      </c>
      <c r="E23" s="26" t="inlineStr">
        <is>
          <t>RM</t>
        </is>
      </c>
      <c r="F23" s="26" t="n"/>
      <c r="G23" s="26" t="n"/>
      <c r="H23" s="26" t="inlineStr">
        <is>
          <t>RM</t>
        </is>
      </c>
      <c r="I23" s="26" t="n"/>
      <c r="J23" s="26" t="inlineStr">
        <is>
          <t>RM</t>
        </is>
      </c>
      <c r="K23" s="26">
        <f>IF(OR(G23="",I23=""),"",G23*I23)</f>
        <v/>
      </c>
      <c r="L23" s="26" t="inlineStr">
        <is>
          <t>RM</t>
        </is>
      </c>
      <c r="M23" s="26">
        <f>IF(ISERROR(K23-F23)," ",K23-F23)</f>
        <v/>
      </c>
      <c r="N23" s="26">
        <f>IF(ISERROR(M23/F23),"",IF(M23/F23=-1,"-",M23/F23))</f>
        <v/>
      </c>
      <c r="O23" s="26" t="inlineStr">
        <is>
          <t>RM</t>
        </is>
      </c>
      <c r="P23" s="23" t="n"/>
      <c r="Q23" s="26" t="inlineStr">
        <is>
          <t>Jun</t>
        </is>
      </c>
      <c r="U23" s="5" t="n"/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26" t="inlineStr">
        <is>
          <t>RM</t>
        </is>
      </c>
      <c r="P24" s="23" t="n"/>
      <c r="Q24" s="26" t="inlineStr">
        <is>
          <t>Dec</t>
        </is>
      </c>
    </row>
    <row r="25" hidden="1" outlineLevel="1">
      <c r="A25" s="26" t="inlineStr">
        <is>
          <t>RM</t>
        </is>
      </c>
      <c r="B25" s="26">
        <f>IF(ISERROR(F25/G25)," ",F25/G25)</f>
        <v/>
      </c>
      <c r="C25" s="26" t="n">
        <v>18</v>
      </c>
      <c r="D25" s="30" t="inlineStr">
        <is>
          <t>AL-MA'MUN - CLASS A</t>
        </is>
      </c>
      <c r="E25" s="26" t="inlineStr">
        <is>
          <t>RM</t>
        </is>
      </c>
      <c r="F25" s="26" t="n"/>
      <c r="G25" s="26" t="n"/>
      <c r="H25" s="26" t="inlineStr">
        <is>
          <t>RM</t>
        </is>
      </c>
      <c r="I25" s="26" t="n"/>
      <c r="J25" s="26" t="inlineStr">
        <is>
          <t>RM</t>
        </is>
      </c>
      <c r="K25" s="26">
        <f>IF(OR(G25="",I25=""),"",G25*I25)</f>
        <v/>
      </c>
      <c r="L25" s="26" t="inlineStr">
        <is>
          <t>RM</t>
        </is>
      </c>
      <c r="M25" s="26">
        <f>IF(ISERROR(K25-F25)," ",K25-F25)</f>
        <v/>
      </c>
      <c r="N25" s="2">
        <f>IF(ISERROR(M25/F25),"",IF(M25/F25=-1,"-",M25/F25))</f>
        <v/>
      </c>
      <c r="O25" s="26" t="inlineStr">
        <is>
          <t>RM</t>
        </is>
      </c>
      <c r="P25" s="23" t="n"/>
      <c r="Q25" s="26" t="inlineStr">
        <is>
          <t>Dec</t>
        </is>
      </c>
    </row>
    <row r="26" collapsed="1">
      <c r="A26" s="26" t="inlineStr">
        <is>
          <t>RM</t>
        </is>
      </c>
      <c r="B26" s="26">
        <f>IF(ISERROR(F26/G26)," ",F26/G26)</f>
        <v/>
      </c>
      <c r="C26" s="26" t="n">
        <v>19</v>
      </c>
      <c r="D26" s="30" t="inlineStr">
        <is>
          <t>ASIA-PACIFIC REIT</t>
        </is>
      </c>
      <c r="E26" s="26" t="inlineStr">
        <is>
          <t>RM</t>
        </is>
      </c>
      <c r="F26" s="26" t="n"/>
      <c r="G26" s="26" t="n"/>
      <c r="H26" s="26" t="inlineStr">
        <is>
          <t>RM</t>
        </is>
      </c>
      <c r="I26" s="26" t="n"/>
      <c r="J26" s="26" t="inlineStr">
        <is>
          <t>RM</t>
        </is>
      </c>
      <c r="K26" s="26">
        <f>IF(OR(G26="",I26=""),"",G26*I26)</f>
        <v/>
      </c>
      <c r="L26" s="26" t="inlineStr">
        <is>
          <t>RM</t>
        </is>
      </c>
      <c r="M26" s="26">
        <f>IF(ISERROR(K26-F26)," ",K26-F26)</f>
        <v/>
      </c>
      <c r="N26" s="26">
        <f>IF(ISERROR(M26/F26),"",IF(M26/F26=-1,"-",M26/F26))</f>
        <v/>
      </c>
      <c r="O26" s="26" t="inlineStr">
        <is>
          <t>RM</t>
        </is>
      </c>
      <c r="P26" s="23" t="n"/>
      <c r="Q26" s="26" t="inlineStr">
        <is>
          <t>Mar</t>
        </is>
      </c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26" t="inlineStr">
        <is>
          <t>RM</t>
        </is>
      </c>
      <c r="P27" s="23" t="n"/>
      <c r="Q27" s="26" t="inlineStr">
        <is>
          <t>Sep</t>
        </is>
      </c>
    </row>
    <row r="28">
      <c r="A28" s="26" t="inlineStr">
        <is>
          <t>RM</t>
        </is>
      </c>
      <c r="B28" s="26">
        <f>IF(ISERROR(F28/G28)," ",F28/G28)</f>
        <v/>
      </c>
      <c r="C28" s="26" t="n">
        <v>20</v>
      </c>
      <c r="D28" s="30" t="inlineStr">
        <is>
          <t>HW FLEXI</t>
        </is>
      </c>
      <c r="E28" s="26" t="inlineStr">
        <is>
          <t>RM</t>
        </is>
      </c>
      <c r="F28" s="26" t="n"/>
      <c r="G28" s="26" t="n"/>
      <c r="H28" s="26" t="inlineStr">
        <is>
          <t>RM</t>
        </is>
      </c>
      <c r="I28" s="26" t="n"/>
      <c r="J28" s="26" t="inlineStr">
        <is>
          <t>RM</t>
        </is>
      </c>
      <c r="K28" s="26">
        <f>IF(OR(G28="",I28=""),"",G28*I28)</f>
        <v/>
      </c>
      <c r="L28" s="26" t="inlineStr">
        <is>
          <t>RM</t>
        </is>
      </c>
      <c r="M28" s="26">
        <f>IF(ISERROR(K28-F28)," ",K28-F28)</f>
        <v/>
      </c>
      <c r="N28" s="2">
        <f>IF(ISERROR(M28/F28),"",IF(M28/F28=-1,"-",M28/F28))</f>
        <v/>
      </c>
      <c r="O28" s="26" t="inlineStr">
        <is>
          <t>RM</t>
        </is>
      </c>
      <c r="P28" s="23" t="n"/>
      <c r="Q28" s="26" t="inlineStr">
        <is>
          <t>Sep</t>
        </is>
      </c>
    </row>
    <row r="29" hidden="1" outlineLevel="1">
      <c r="A29" s="26" t="inlineStr">
        <is>
          <t>RM</t>
        </is>
      </c>
      <c r="B29" s="26">
        <f>IF(ISERROR(F29/G29)," ",F29/G29)</f>
        <v/>
      </c>
      <c r="C29" s="26" t="n">
        <v>21</v>
      </c>
      <c r="D29" s="30" t="inlineStr">
        <is>
          <t>CM SHARIAH FLEXI</t>
        </is>
      </c>
      <c r="E29" s="26" t="inlineStr">
        <is>
          <t>RM</t>
        </is>
      </c>
      <c r="F29" s="26" t="n"/>
      <c r="G29" s="26" t="n"/>
      <c r="H29" s="26" t="inlineStr">
        <is>
          <t>RM</t>
        </is>
      </c>
      <c r="I29" s="26" t="n"/>
      <c r="J29" s="26" t="inlineStr">
        <is>
          <t>RM</t>
        </is>
      </c>
      <c r="K29" s="26">
        <f>IF(OR(G29="",I29=""),"",G29*I29)</f>
        <v/>
      </c>
      <c r="L29" s="26" t="inlineStr">
        <is>
          <t>RM</t>
        </is>
      </c>
      <c r="M29" s="26">
        <f>IF(ISERROR(K29-F29)," ",K29-F29)</f>
        <v/>
      </c>
      <c r="N29" s="2">
        <f>IF(ISERROR(M29/F29),"",IF(M29/F29=-1,"-",M29/F29))</f>
        <v/>
      </c>
      <c r="O29" s="26" t="inlineStr">
        <is>
          <t>RM</t>
        </is>
      </c>
      <c r="P29" s="23" t="n"/>
      <c r="Q29" s="26" t="inlineStr">
        <is>
          <t>Dec</t>
        </is>
      </c>
    </row>
    <row r="30" collapsed="1">
      <c r="A30" s="26" t="inlineStr">
        <is>
          <t>RM</t>
        </is>
      </c>
      <c r="B30" s="26">
        <f>IF(ISERROR(F30/G30)," ",F30/G30)</f>
        <v/>
      </c>
      <c r="C30" s="26" t="n">
        <v>22</v>
      </c>
      <c r="D30" s="30" t="inlineStr">
        <is>
          <t>SHARIAH ASIA-PACIFIC EX JAPAN</t>
        </is>
      </c>
      <c r="E30" s="26" t="inlineStr">
        <is>
          <t>RM</t>
        </is>
      </c>
      <c r="F30" s="26" t="n"/>
      <c r="G30" s="26" t="n"/>
      <c r="H30" s="26" t="inlineStr">
        <is>
          <t>RM</t>
        </is>
      </c>
      <c r="I30" s="26" t="n"/>
      <c r="J30" s="26" t="inlineStr">
        <is>
          <t>RM</t>
        </is>
      </c>
      <c r="K30" s="26">
        <f>IF(OR(G30="",I30=""),"",G30*I30)</f>
        <v/>
      </c>
      <c r="L30" s="26" t="inlineStr">
        <is>
          <t>RM</t>
        </is>
      </c>
      <c r="M30" s="26">
        <f>IF(ISERROR(K30-F30)," ",K30-F30)</f>
        <v/>
      </c>
      <c r="N30" s="2">
        <f>IF(ISERROR(M30/F30),"",IF(M30/F30=-1,"-",M30/F30))</f>
        <v/>
      </c>
      <c r="O30" s="26" t="inlineStr">
        <is>
          <t>RM</t>
        </is>
      </c>
      <c r="P30" s="23" t="n"/>
      <c r="Q30" s="26" t="inlineStr">
        <is>
          <t>Oct</t>
        </is>
      </c>
    </row>
    <row r="31">
      <c r="A31" s="26" t="inlineStr">
        <is>
          <t>RM</t>
        </is>
      </c>
      <c r="B31" s="26">
        <f>IF(ISERROR(F31/G31)," ",F31/G31)</f>
        <v/>
      </c>
      <c r="C31" s="26" t="n">
        <v>23</v>
      </c>
      <c r="D31" s="30" t="inlineStr">
        <is>
          <t>GREATER CHINA</t>
        </is>
      </c>
      <c r="E31" s="26" t="inlineStr">
        <is>
          <t>RM</t>
        </is>
      </c>
      <c r="F31" s="26" t="n"/>
      <c r="G31" s="26" t="n"/>
      <c r="H31" s="26" t="inlineStr">
        <is>
          <t>RM</t>
        </is>
      </c>
      <c r="I31" s="26" t="n"/>
      <c r="J31" s="26" t="inlineStr">
        <is>
          <t>RM</t>
        </is>
      </c>
      <c r="K31" s="26">
        <f>IF(OR(G31="",I31=""),"",G31*I31)</f>
        <v/>
      </c>
      <c r="L31" s="26" t="inlineStr">
        <is>
          <t>RM</t>
        </is>
      </c>
      <c r="M31" s="26">
        <f>IF(ISERROR(K31-F31)," ",K31-F31)</f>
        <v/>
      </c>
      <c r="N31" s="2">
        <f>IF(ISERROR(M31/F31),"",IF(M31/F31=-1,"-",M31/F31))</f>
        <v/>
      </c>
      <c r="O31" s="26" t="inlineStr">
        <is>
          <t>RM</t>
        </is>
      </c>
      <c r="P31" s="23" t="n"/>
      <c r="Q31" s="26" t="inlineStr">
        <is>
          <t>Sep</t>
        </is>
      </c>
    </row>
    <row r="32">
      <c r="A32" s="26" t="inlineStr">
        <is>
          <t>RM</t>
        </is>
      </c>
      <c r="B32" s="26">
        <f>IF(ISERROR(F32/G32)," ",F32/G32)</f>
        <v/>
      </c>
      <c r="C32" s="26" t="n">
        <v>24</v>
      </c>
      <c r="D32" s="30" t="inlineStr">
        <is>
          <t>U.S. EQUITY</t>
        </is>
      </c>
      <c r="E32" s="26" t="inlineStr">
        <is>
          <t>RM</t>
        </is>
      </c>
      <c r="F32" s="26" t="n"/>
      <c r="G32" s="26" t="n"/>
      <c r="H32" s="26" t="inlineStr">
        <is>
          <t>RM</t>
        </is>
      </c>
      <c r="I32" s="26" t="n"/>
      <c r="J32" s="26" t="inlineStr">
        <is>
          <t>RM</t>
        </is>
      </c>
      <c r="K32" s="26">
        <f>IF(OR(G32="",I32=""),"",G32*I32)</f>
        <v/>
      </c>
      <c r="L32" s="26" t="inlineStr">
        <is>
          <t>RM</t>
        </is>
      </c>
      <c r="M32" s="26">
        <f>IF(ISERROR(K32-F32)," ",K32-F32)</f>
        <v/>
      </c>
      <c r="N32" s="2">
        <f>IF(ISERROR(M32/F32),"",IF(M32/F32=-1,"-",M32/F32))</f>
        <v/>
      </c>
      <c r="O32" s="26" t="inlineStr">
        <is>
          <t>RM</t>
        </is>
      </c>
      <c r="P32" s="23" t="n"/>
      <c r="Q32" s="26" t="inlineStr">
        <is>
          <t>Jun</t>
        </is>
      </c>
    </row>
    <row r="33">
      <c r="A33" s="26" t="inlineStr">
        <is>
          <t>RM</t>
        </is>
      </c>
      <c r="B33" s="26">
        <f>IF(ISERROR(F33/G33)," ",F33/G33)</f>
        <v/>
      </c>
      <c r="C33" s="26" t="n">
        <v>26</v>
      </c>
      <c r="D33" s="30" t="inlineStr">
        <is>
          <t>SHARIAH PROGRESS</t>
        </is>
      </c>
      <c r="E33" s="26" t="inlineStr">
        <is>
          <t>RM</t>
        </is>
      </c>
      <c r="F33" s="26" t="n"/>
      <c r="G33" s="26" t="n"/>
      <c r="H33" s="26" t="inlineStr">
        <is>
          <t>RM</t>
        </is>
      </c>
      <c r="I33" s="26" t="n"/>
      <c r="J33" s="26" t="inlineStr">
        <is>
          <t>RM</t>
        </is>
      </c>
      <c r="K33" s="26">
        <f>IF(OR(G33="",I33=""),"",G33*I33)</f>
        <v/>
      </c>
      <c r="L33" s="26" t="inlineStr">
        <is>
          <t>RM</t>
        </is>
      </c>
      <c r="M33" s="26">
        <f>IF(ISERROR(K33-F33)," ",K33-F33)</f>
        <v/>
      </c>
      <c r="N33" s="2">
        <f>IF(ISERROR(M33/F33),"",IF(M33/F33=-1,"-",M33/F33))</f>
        <v/>
      </c>
      <c r="O33" s="26" t="inlineStr">
        <is>
          <t>RM</t>
        </is>
      </c>
      <c r="P33" s="23" t="n"/>
      <c r="Q33" s="26" t="inlineStr">
        <is>
          <t>May</t>
        </is>
      </c>
    </row>
    <row r="34">
      <c r="A34" s="26" t="inlineStr">
        <is>
          <t>RM</t>
        </is>
      </c>
      <c r="B34" s="26">
        <f>IF(ISERROR(F34/G34)," ",F34/G34)</f>
        <v/>
      </c>
      <c r="C34" s="26" t="n">
        <v>27</v>
      </c>
      <c r="D34" s="30" t="inlineStr">
        <is>
          <t>HW SHARIAH FLEXI</t>
        </is>
      </c>
      <c r="E34" s="26" t="inlineStr">
        <is>
          <t>RM</t>
        </is>
      </c>
      <c r="F34" s="26" t="n"/>
      <c r="G34" s="26" t="n"/>
      <c r="H34" s="26" t="inlineStr">
        <is>
          <t>RM</t>
        </is>
      </c>
      <c r="I34" s="26" t="n"/>
      <c r="J34" s="26" t="inlineStr">
        <is>
          <t>RM</t>
        </is>
      </c>
      <c r="K34" s="26">
        <f>IF(OR(G34="",I34=""),"",G34*I34)</f>
        <v/>
      </c>
      <c r="L34" s="26" t="inlineStr">
        <is>
          <t>RM</t>
        </is>
      </c>
      <c r="M34" s="26">
        <f>IF(ISERROR(K34-F34)," ",K34-F34)</f>
        <v/>
      </c>
      <c r="N34" s="2">
        <f>IF(ISERROR(M34/F34),"",IF(M34/F34=-1,"-",M34/F34))</f>
        <v/>
      </c>
      <c r="O34" s="26" t="inlineStr">
        <is>
          <t>RM</t>
        </is>
      </c>
      <c r="P34" s="23" t="n"/>
      <c r="Q34" s="26" t="inlineStr">
        <is>
          <t>Feb</t>
        </is>
      </c>
    </row>
    <row r="35">
      <c r="A35" s="26" t="inlineStr">
        <is>
          <t>RM</t>
        </is>
      </c>
      <c r="B35" s="26">
        <f>IF(ISERROR(F35/G35)," ",F35/G35)</f>
        <v/>
      </c>
      <c r="C35" s="26" t="n">
        <v>28</v>
      </c>
      <c r="D35" s="30" t="inlineStr">
        <is>
          <t>BOND PLUS A1-RM</t>
        </is>
      </c>
      <c r="E35" s="26" t="inlineStr">
        <is>
          <t>RM</t>
        </is>
      </c>
      <c r="F35" s="26" t="n"/>
      <c r="G35" s="26" t="n"/>
      <c r="H35" s="26" t="inlineStr">
        <is>
          <t>RM</t>
        </is>
      </c>
      <c r="I35" s="26" t="n"/>
      <c r="J35" s="26" t="inlineStr">
        <is>
          <t>RM</t>
        </is>
      </c>
      <c r="K35" s="26">
        <f>IF(OR(G35="",I35=""),"",G35*I35)</f>
        <v/>
      </c>
      <c r="L35" s="26" t="inlineStr">
        <is>
          <t>RM</t>
        </is>
      </c>
      <c r="M35" s="26">
        <f>IF(ISERROR(K35-F35)," ",K35-F35)</f>
        <v/>
      </c>
      <c r="N35" s="2">
        <f>IF(ISERROR(M35/F35),"",IF(M35/F35=-1,"-",M35/F35))</f>
        <v/>
      </c>
      <c r="O35" s="26" t="inlineStr">
        <is>
          <t>RM</t>
        </is>
      </c>
      <c r="P35" s="23" t="n"/>
      <c r="Q35" s="26" t="inlineStr">
        <is>
          <t>Nov</t>
        </is>
      </c>
    </row>
    <row r="36">
      <c r="A36" s="26" t="inlineStr">
        <is>
          <t>RM</t>
        </is>
      </c>
      <c r="B36" s="26">
        <f>IF(ISERROR(F36/G36)," ",F36/G36)</f>
        <v/>
      </c>
      <c r="C36" s="26" t="n">
        <v>30</v>
      </c>
      <c r="D36" s="30" t="inlineStr">
        <is>
          <t>INDIA EQUITY FUND</t>
        </is>
      </c>
      <c r="E36" s="26" t="inlineStr">
        <is>
          <t>RM</t>
        </is>
      </c>
      <c r="F36" s="26" t="n"/>
      <c r="G36" s="26" t="n"/>
      <c r="H36" s="26" t="inlineStr">
        <is>
          <t>RM</t>
        </is>
      </c>
      <c r="I36" s="26" t="n"/>
      <c r="J36" s="26" t="inlineStr">
        <is>
          <t>RM</t>
        </is>
      </c>
      <c r="K36" s="26">
        <f>IF(OR(G36="",I36=""),"",G36*I36)</f>
        <v/>
      </c>
      <c r="L36" s="26" t="inlineStr">
        <is>
          <t>RM</t>
        </is>
      </c>
      <c r="M36" s="26">
        <f>IF(ISERROR(K36-F36)," ",K36-F36)</f>
        <v/>
      </c>
      <c r="N36" s="2">
        <f>IF(ISERROR(M36/F36),"",IF(M36/F36=-1,"-",M36/F36))</f>
        <v/>
      </c>
      <c r="O36" s="26" t="inlineStr">
        <is>
          <t>RM</t>
        </is>
      </c>
      <c r="P36" s="23" t="n"/>
      <c r="Q36" s="26" t="inlineStr">
        <is>
          <t>Nov</t>
        </is>
      </c>
    </row>
    <row r="37">
      <c r="A37" s="26" t="inlineStr">
        <is>
          <t>RM</t>
        </is>
      </c>
      <c r="B37" s="26">
        <f>IF(ISERROR(F37/G37)," ",F37/G37)</f>
        <v/>
      </c>
      <c r="C37" s="26" t="n">
        <v>31</v>
      </c>
      <c r="D37" s="30" t="inlineStr">
        <is>
          <t>DVSF REAL ASSET RM</t>
        </is>
      </c>
      <c r="E37" s="26" t="inlineStr">
        <is>
          <t>RM</t>
        </is>
      </c>
      <c r="F37" s="26" t="n"/>
      <c r="G37" s="26" t="n"/>
      <c r="H37" s="26" t="inlineStr">
        <is>
          <t>RM</t>
        </is>
      </c>
      <c r="I37" s="26" t="n"/>
      <c r="J37" s="26" t="inlineStr">
        <is>
          <t>RM</t>
        </is>
      </c>
      <c r="K37" s="26">
        <f>IF(OR(G37="",I37=""),"",G37*I37)</f>
        <v/>
      </c>
      <c r="L37" s="26" t="inlineStr">
        <is>
          <t>RM</t>
        </is>
      </c>
      <c r="M37" s="26">
        <f>IF(ISERROR(K37-F37)," ",K37-F37)</f>
        <v/>
      </c>
      <c r="N37" s="2">
        <f>IF(ISERROR(M37/F37),"",IF(M37/F37=-1,"-",M37/F37))</f>
        <v/>
      </c>
      <c r="O37" s="26" t="inlineStr">
        <is>
          <t>RM</t>
        </is>
      </c>
      <c r="P37" s="23" t="n"/>
      <c r="Q37" s="26" t="inlineStr">
        <is>
          <t>Nov</t>
        </is>
      </c>
    </row>
    <row r="38" hidden="1" outlineLevel="1" ht="14.75" customHeight="1">
      <c r="A38" s="26" t="inlineStr">
        <is>
          <t>RM</t>
        </is>
      </c>
      <c r="B38" s="26">
        <f>IF(ISERROR(F380/G38)," ",F38/G38)</f>
        <v/>
      </c>
      <c r="C38" s="26" t="n">
        <v>35</v>
      </c>
      <c r="D38" s="30" t="inlineStr">
        <is>
          <t xml:space="preserve"> Cash Management Fund - Class I</t>
        </is>
      </c>
      <c r="E38" s="26" t="inlineStr">
        <is>
          <t>RM</t>
        </is>
      </c>
      <c r="F38" s="26" t="n"/>
      <c r="G38" s="26" t="n"/>
      <c r="H38" s="26" t="inlineStr">
        <is>
          <t>RM</t>
        </is>
      </c>
      <c r="I38" s="26" t="n"/>
      <c r="J38" s="26" t="inlineStr">
        <is>
          <t>RM</t>
        </is>
      </c>
      <c r="K38" s="26">
        <f>IF(OR(G38="",I38=""),"",G38*I38)</f>
        <v/>
      </c>
      <c r="L38" s="26" t="inlineStr">
        <is>
          <t>RM</t>
        </is>
      </c>
      <c r="M38" s="26">
        <f>IF(ISERROR(K38-F38)," ",K38-F38)</f>
        <v/>
      </c>
      <c r="N38" s="26">
        <f>IF(ISERROR(M38/F38),"",IF(M38/F38=-1,"-",M38/F38))</f>
        <v/>
      </c>
      <c r="O38" s="26" t="inlineStr">
        <is>
          <t>RM</t>
        </is>
      </c>
      <c r="P38" s="23" t="n"/>
      <c r="Q38" s="26" t="inlineStr">
        <is>
          <t>Nov</t>
        </is>
      </c>
    </row>
    <row r="39" hidden="1" outlineLevel="1" ht="14.75" customHeight="1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26" t="inlineStr">
        <is>
          <t>RM</t>
        </is>
      </c>
      <c r="P39" s="23" t="n"/>
      <c r="Q39" s="26" t="inlineStr">
        <is>
          <t>Dec</t>
        </is>
      </c>
    </row>
    <row r="40" hidden="1" outlineLevel="1" ht="14.75" customHeight="1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26" t="inlineStr">
        <is>
          <t>RM</t>
        </is>
      </c>
      <c r="P40" s="23" t="n"/>
      <c r="Q40" s="26" t="inlineStr">
        <is>
          <t>Jan</t>
        </is>
      </c>
    </row>
    <row r="41" hidden="1" outlineLevel="1" ht="14.75" customHeight="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26" t="inlineStr">
        <is>
          <t>RM</t>
        </is>
      </c>
      <c r="P41" s="23" t="n"/>
      <c r="Q41" s="26" t="inlineStr">
        <is>
          <t>Feb</t>
        </is>
      </c>
    </row>
    <row r="42" hidden="1" outlineLevel="1" ht="14.75" customHeight="1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26" t="inlineStr">
        <is>
          <t>RM</t>
        </is>
      </c>
      <c r="P42" s="23" t="n"/>
      <c r="Q42" s="26" t="inlineStr">
        <is>
          <t>Mar</t>
        </is>
      </c>
    </row>
    <row r="43" hidden="1" outlineLevel="1" ht="14.75" customHeight="1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26" t="inlineStr">
        <is>
          <t>RM</t>
        </is>
      </c>
      <c r="P43" s="23" t="n"/>
      <c r="Q43" s="26" t="inlineStr">
        <is>
          <t>Apr</t>
        </is>
      </c>
    </row>
    <row r="44" hidden="1" outlineLevel="1" ht="14.75" customHeight="1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26" t="inlineStr">
        <is>
          <t>RM</t>
        </is>
      </c>
      <c r="P44" s="23" t="n"/>
      <c r="Q44" s="26" t="inlineStr">
        <is>
          <t>May</t>
        </is>
      </c>
    </row>
    <row r="45" hidden="1" outlineLevel="1" ht="14.75" customHeight="1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26" t="inlineStr">
        <is>
          <t>RM</t>
        </is>
      </c>
      <c r="P45" s="23" t="n"/>
      <c r="Q45" s="26" t="inlineStr">
        <is>
          <t>Jun</t>
        </is>
      </c>
    </row>
    <row r="46" hidden="1" outlineLevel="1" ht="14.75" customHeight="1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26" t="inlineStr">
        <is>
          <t>RM</t>
        </is>
      </c>
      <c r="P46" s="23" t="n"/>
      <c r="Q46" s="26" t="inlineStr">
        <is>
          <t>Jul</t>
        </is>
      </c>
    </row>
    <row r="47" hidden="1" outlineLevel="1" ht="14.75" customHeight="1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26" t="inlineStr">
        <is>
          <t>RM</t>
        </is>
      </c>
      <c r="P47" s="23" t="n"/>
      <c r="Q47" s="26" t="inlineStr">
        <is>
          <t>Aug</t>
        </is>
      </c>
    </row>
    <row r="48" hidden="1" outlineLevel="1" ht="14.75" customHeight="1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26" t="inlineStr">
        <is>
          <t>RM</t>
        </is>
      </c>
      <c r="P48" s="23" t="n"/>
      <c r="Q48" s="26" t="inlineStr">
        <is>
          <t>Sep</t>
        </is>
      </c>
    </row>
    <row r="49" hidden="1" outlineLevel="1" ht="14.75" customHeight="1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26" t="inlineStr">
        <is>
          <t>RM</t>
        </is>
      </c>
      <c r="P49" s="23" t="n"/>
      <c r="Q49" s="26" t="inlineStr">
        <is>
          <t>Oct</t>
        </is>
      </c>
    </row>
    <row r="50" collapsed="1" ht="14.75" customHeight="1">
      <c r="A50" s="26" t="inlineStr">
        <is>
          <t xml:space="preserve">RM </t>
        </is>
      </c>
      <c r="B50" s="26">
        <f>+IF(ISERROR(F50/G50)," ",F50/G50)</f>
        <v/>
      </c>
      <c r="C50" s="26" t="n">
        <v>36</v>
      </c>
      <c r="D50" s="30" t="inlineStr">
        <is>
          <t>CHINA EQUITY</t>
        </is>
      </c>
      <c r="E50" s="26" t="inlineStr">
        <is>
          <t>RM</t>
        </is>
      </c>
      <c r="F50" s="26" t="n"/>
      <c r="G50" s="26" t="n"/>
      <c r="H50" s="26" t="inlineStr">
        <is>
          <t>RM</t>
        </is>
      </c>
      <c r="I50" s="26" t="n"/>
      <c r="J50" s="26" t="inlineStr">
        <is>
          <t>RM</t>
        </is>
      </c>
      <c r="K50" s="26">
        <f>IF(OR(G50="",I50=""),"",G50*I50)</f>
        <v/>
      </c>
      <c r="L50" s="26" t="inlineStr">
        <is>
          <t>RM</t>
        </is>
      </c>
      <c r="M50" s="26">
        <f>IF(ISERROR(K50-F50)," ",K50-F50)</f>
        <v/>
      </c>
      <c r="N50" s="2">
        <f>IF(ISERROR(M50/F50),"",IF(M50/F50=-1,"-",M50/F50))</f>
        <v/>
      </c>
      <c r="O50" s="26" t="inlineStr">
        <is>
          <t>RM</t>
        </is>
      </c>
      <c r="P50" s="23" t="n"/>
      <c r="Q50" s="26" t="inlineStr">
        <is>
          <t>Nov</t>
        </is>
      </c>
    </row>
    <row r="51">
      <c r="A51" s="26" t="inlineStr">
        <is>
          <t>RM</t>
        </is>
      </c>
      <c r="B51" s="26">
        <f>+IF(ISERROR(F51/G51)," ",F51/G51)</f>
        <v/>
      </c>
      <c r="C51" s="26" t="n">
        <v>39</v>
      </c>
      <c r="D51" s="30" t="inlineStr">
        <is>
          <t>ASIAN SMALL CAP EQUITY FUND</t>
        </is>
      </c>
      <c r="E51" s="26" t="inlineStr">
        <is>
          <t>RM</t>
        </is>
      </c>
      <c r="F51" s="26" t="n"/>
      <c r="G51" s="26" t="n"/>
      <c r="H51" s="26" t="inlineStr">
        <is>
          <t>RM</t>
        </is>
      </c>
      <c r="I51" s="26" t="n"/>
      <c r="J51" s="26" t="inlineStr">
        <is>
          <t>RM</t>
        </is>
      </c>
      <c r="K51" s="26">
        <f>IF(OR(G51="",I51=""),"",G51*I51)</f>
        <v/>
      </c>
      <c r="L51" s="26" t="inlineStr">
        <is>
          <t>RM</t>
        </is>
      </c>
      <c r="M51" s="26">
        <f>IF(ISERROR(K51-F51)," ",K51-F51)</f>
        <v/>
      </c>
      <c r="N51" s="2">
        <f>IF(ISERROR(M51/F51),"",IF(M51/F51=-1,"-",M51/F51))</f>
        <v/>
      </c>
      <c r="O51" s="26" t="inlineStr">
        <is>
          <t>RM</t>
        </is>
      </c>
      <c r="P51" s="23" t="n"/>
      <c r="Q51" s="26" t="inlineStr">
        <is>
          <t>Nov</t>
        </is>
      </c>
    </row>
    <row r="52">
      <c r="A52" s="26" t="inlineStr">
        <is>
          <t>RM</t>
        </is>
      </c>
      <c r="B52" s="26">
        <f>+IF(ISERROR(F52/G52)," ",F52/G52)</f>
        <v/>
      </c>
      <c r="C52" s="26" t="n">
        <v>41</v>
      </c>
      <c r="D52" s="30" t="inlineStr">
        <is>
          <t>ML SHARIAH FLEXI</t>
        </is>
      </c>
      <c r="E52" s="26" t="inlineStr">
        <is>
          <t>RM</t>
        </is>
      </c>
      <c r="F52" s="26" t="n"/>
      <c r="G52" s="26" t="n"/>
      <c r="H52" s="26" t="inlineStr">
        <is>
          <t>RM</t>
        </is>
      </c>
      <c r="I52" s="26" t="n"/>
      <c r="J52" s="26" t="inlineStr">
        <is>
          <t>RM</t>
        </is>
      </c>
      <c r="K52" s="26">
        <f>IF(OR(G52="",I52=""),"",G52*I52)</f>
        <v/>
      </c>
      <c r="L52" s="26" t="inlineStr">
        <is>
          <t>RM</t>
        </is>
      </c>
      <c r="M52" s="26">
        <f>IF(ISERROR(K52-F52)," ",K52-F52)</f>
        <v/>
      </c>
      <c r="N52" s="2">
        <f>IF(ISERROR(M52/F52),"",IF(M52/F52=-1,"-",M52/F52))</f>
        <v/>
      </c>
      <c r="O52" s="26" t="inlineStr">
        <is>
          <t>RM</t>
        </is>
      </c>
      <c r="P52" s="23" t="n"/>
      <c r="Q52" s="26" t="inlineStr">
        <is>
          <t>Jun</t>
        </is>
      </c>
    </row>
    <row r="53">
      <c r="A53" s="26" t="inlineStr">
        <is>
          <t>RM</t>
        </is>
      </c>
      <c r="B53" s="26">
        <f>+IF(ISERROR(F53/G53)," ",F53/G53)</f>
        <v/>
      </c>
      <c r="C53" s="26" t="n">
        <v>43</v>
      </c>
      <c r="D53" s="30" t="inlineStr">
        <is>
          <t>DRAGON GROWTH FUND</t>
        </is>
      </c>
      <c r="E53" s="26" t="inlineStr">
        <is>
          <t>RM</t>
        </is>
      </c>
      <c r="F53" s="26" t="n"/>
      <c r="G53" s="26" t="n"/>
      <c r="H53" s="26" t="inlineStr">
        <is>
          <t>RM</t>
        </is>
      </c>
      <c r="I53" s="26" t="n"/>
      <c r="J53" s="26" t="inlineStr">
        <is>
          <t>RM</t>
        </is>
      </c>
      <c r="K53" s="26">
        <f>IF(OR(G53="",I53=""),"",G53*I53)</f>
        <v/>
      </c>
      <c r="L53" s="26" t="inlineStr">
        <is>
          <t>RM</t>
        </is>
      </c>
      <c r="M53" s="26">
        <f>IF(ISERROR(K53-F53)," ",K53-F53)</f>
        <v/>
      </c>
      <c r="N53" s="2">
        <f>IF(ISERROR(M53/F53),"",IF(M53/F53=-1,"-",M53/F53))</f>
        <v/>
      </c>
      <c r="O53" s="26" t="inlineStr">
        <is>
          <t>RM</t>
        </is>
      </c>
      <c r="P53" s="23" t="n"/>
      <c r="Q53" s="26" t="inlineStr">
        <is>
          <t>Jan</t>
        </is>
      </c>
    </row>
    <row r="54" hidden="1" outlineLevel="1" ht="14.75" customHeight="1">
      <c r="A54" s="26" t="inlineStr">
        <is>
          <t>RM</t>
        </is>
      </c>
      <c r="B54" s="26">
        <f>+IF(ISERROR(F54/G54)," ",F54/G54)</f>
        <v/>
      </c>
      <c r="C54" s="26" t="n">
        <v>44</v>
      </c>
      <c r="D54" s="30" t="inlineStr">
        <is>
          <t xml:space="preserve"> Growth Fund (USD)</t>
        </is>
      </c>
      <c r="E54" s="26" t="inlineStr">
        <is>
          <t>RM</t>
        </is>
      </c>
      <c r="F54" s="26" t="n"/>
      <c r="G54" s="26" t="n"/>
      <c r="H54" s="26" t="inlineStr">
        <is>
          <t>RM</t>
        </is>
      </c>
      <c r="I54" s="26" t="n"/>
      <c r="J54" s="26" t="inlineStr">
        <is>
          <t>RM</t>
        </is>
      </c>
      <c r="K54" s="26">
        <f>IF(OR(G54="",I54=""),"",G54*I54)</f>
        <v/>
      </c>
      <c r="L54" s="26" t="inlineStr">
        <is>
          <t>RM</t>
        </is>
      </c>
      <c r="M54" s="26">
        <f>IF(ISERROR(K54-F54)," ",K54-F54)</f>
        <v/>
      </c>
      <c r="N54" s="2">
        <f>IF(ISERROR(M54/F54),"",IF(M54/F54=-1,"-",M54/F54))</f>
        <v/>
      </c>
      <c r="O54" s="26" t="inlineStr">
        <is>
          <t>RM</t>
        </is>
      </c>
      <c r="P54" s="23" t="n"/>
      <c r="Q54" s="26" t="inlineStr">
        <is>
          <t>Jan</t>
        </is>
      </c>
    </row>
    <row r="55" collapsed="1" ht="14.75" customHeight="1">
      <c r="A55" s="26" t="inlineStr">
        <is>
          <t>RM</t>
        </is>
      </c>
      <c r="B55" s="26">
        <f>+IF(ISERROR(F55/G55)," ",F55/G55)</f>
        <v/>
      </c>
      <c r="C55" s="26" t="n">
        <v>45</v>
      </c>
      <c r="D55" s="30" t="inlineStr">
        <is>
          <t>AP INCOME&amp;GROWTH</t>
        </is>
      </c>
      <c r="E55" s="26" t="inlineStr">
        <is>
          <t>RM</t>
        </is>
      </c>
      <c r="F55" s="26" t="n"/>
      <c r="G55" s="26" t="n"/>
      <c r="H55" s="26" t="inlineStr">
        <is>
          <t>RM</t>
        </is>
      </c>
      <c r="I55" s="26" t="n"/>
      <c r="J55" s="26" t="inlineStr">
        <is>
          <t>RM</t>
        </is>
      </c>
      <c r="K55" s="26">
        <f>IF(OR(G55="",I55=""),"",G55*I55)</f>
        <v/>
      </c>
      <c r="L55" s="26" t="inlineStr">
        <is>
          <t>RM</t>
        </is>
      </c>
      <c r="M55" s="26">
        <f>IF(ISERROR(K55-F55)," ",K55-F55)</f>
        <v/>
      </c>
      <c r="N55" s="2">
        <f>IF(ISERROR(M55/F55),"",IF(M55/F55=-1,"-",M55/F55))</f>
        <v/>
      </c>
      <c r="O55" s="26" t="inlineStr">
        <is>
          <t>RM</t>
        </is>
      </c>
      <c r="P55" s="23" t="n"/>
      <c r="Q55" s="26" t="n"/>
    </row>
    <row r="56" hidden="1" outlineLevel="1" ht="14.75" customHeight="1">
      <c r="A56" s="26" t="inlineStr">
        <is>
          <t>RM</t>
        </is>
      </c>
      <c r="B56" s="26">
        <f>+IF(ISERROR(F56/G56)," ",F56/G56)</f>
        <v/>
      </c>
      <c r="C56" s="26" t="n">
        <v>47</v>
      </c>
      <c r="D56" s="30" t="inlineStr">
        <is>
          <t xml:space="preserve"> Asian Small Cap Equity Fund (RM Hedged)</t>
        </is>
      </c>
      <c r="E56" s="26" t="inlineStr">
        <is>
          <t>RM</t>
        </is>
      </c>
      <c r="F56" s="26" t="n"/>
      <c r="G56" s="26" t="n"/>
      <c r="H56" s="26" t="inlineStr">
        <is>
          <t>RM</t>
        </is>
      </c>
      <c r="I56" s="26" t="n"/>
      <c r="J56" s="26" t="inlineStr">
        <is>
          <t>RM</t>
        </is>
      </c>
      <c r="K56" s="26">
        <f>IF(OR(G56="",I56=""),"",G56*I56)</f>
        <v/>
      </c>
      <c r="L56" s="26" t="inlineStr">
        <is>
          <t>RM</t>
        </is>
      </c>
      <c r="M56" s="26">
        <f>IF(ISERROR(K56-F56)," ",K56-F56)</f>
        <v/>
      </c>
      <c r="N56" s="2">
        <f>IF(ISERROR(M56/F56),"",IF(M56/F56=-1,"-",M56/F56))</f>
        <v/>
      </c>
      <c r="O56" s="26" t="inlineStr">
        <is>
          <t>RM</t>
        </is>
      </c>
      <c r="P56" s="23" t="n"/>
      <c r="Q56" s="26" t="n"/>
    </row>
    <row r="57" collapsed="1">
      <c r="A57" s="26" t="inlineStr">
        <is>
          <t>RM</t>
        </is>
      </c>
      <c r="B57" s="26">
        <f>+IF(ISERROR(F57/G57)," ",F57/G57)</f>
        <v/>
      </c>
      <c r="C57" s="26" t="n">
        <v>94</v>
      </c>
      <c r="D57" s="30" t="inlineStr">
        <is>
          <t>MI SHARIAH PROG PLUS</t>
        </is>
      </c>
      <c r="E57" s="26" t="inlineStr">
        <is>
          <t>RM</t>
        </is>
      </c>
      <c r="F57" s="26" t="n"/>
      <c r="G57" s="26" t="n"/>
      <c r="H57" s="26" t="inlineStr">
        <is>
          <t>RM</t>
        </is>
      </c>
      <c r="I57" s="26" t="n"/>
      <c r="J57" s="26" t="inlineStr">
        <is>
          <t>RM</t>
        </is>
      </c>
      <c r="K57" s="26">
        <f>IF(OR(G57="",I57=""),"",G57*I57)</f>
        <v/>
      </c>
      <c r="L57" s="26" t="inlineStr">
        <is>
          <t>RM</t>
        </is>
      </c>
      <c r="M57" s="26">
        <f>IF(ISERROR(K57-F57)," ",K57-F57)</f>
        <v/>
      </c>
      <c r="N57" s="2">
        <f>IF(ISERROR(M57/F57),"",IF(M57/F57=-1,"-",M57/F57))</f>
        <v/>
      </c>
      <c r="O57" s="26" t="inlineStr">
        <is>
          <t>RM</t>
        </is>
      </c>
      <c r="P57" s="23" t="n"/>
      <c r="Q57" s="26" t="inlineStr">
        <is>
          <t>Apr</t>
        </is>
      </c>
    </row>
    <row r="58" hidden="1" outlineLevel="1">
      <c r="A58" s="26" t="inlineStr">
        <is>
          <t>RM</t>
        </is>
      </c>
      <c r="B58" s="26">
        <f>+IF(ISERROR(F58/G58)," ",F58/G58)</f>
        <v/>
      </c>
      <c r="C58" s="26" t="n">
        <v>95</v>
      </c>
      <c r="D58" s="30" t="inlineStr">
        <is>
          <t xml:space="preserve"> India Equity Fund - RM Hedged</t>
        </is>
      </c>
      <c r="E58" s="26" t="inlineStr">
        <is>
          <t>RM</t>
        </is>
      </c>
      <c r="F58" s="26" t="n"/>
      <c r="G58" s="26" t="n"/>
      <c r="H58" s="26" t="inlineStr">
        <is>
          <t>RM</t>
        </is>
      </c>
      <c r="I58" s="26" t="n"/>
      <c r="J58" s="26" t="inlineStr">
        <is>
          <t>RM</t>
        </is>
      </c>
      <c r="K58" s="26">
        <f>IF(OR(G58="",I58=""),"",G58*I58)</f>
        <v/>
      </c>
      <c r="L58" s="26" t="inlineStr">
        <is>
          <t>RM</t>
        </is>
      </c>
      <c r="M58" s="26">
        <f>IF(ISERROR(K58-F58)," ",K58-F58)</f>
        <v/>
      </c>
      <c r="N58" s="2">
        <f>IF(ISERROR(M58/F58),"",IF(M58/F58=-1,"-",M58/F58))</f>
        <v/>
      </c>
      <c r="O58" s="26" t="inlineStr">
        <is>
          <t>RM</t>
        </is>
      </c>
      <c r="P58" s="23" t="n"/>
      <c r="Q58" s="26" t="inlineStr">
        <is>
          <t>Nov</t>
        </is>
      </c>
    </row>
    <row r="59" hidden="1" outlineLevel="1">
      <c r="A59" s="26" t="inlineStr">
        <is>
          <t>RM</t>
        </is>
      </c>
      <c r="B59" s="26">
        <f>+IF(ISERROR(F59/G59)," ",F59/G59)</f>
        <v/>
      </c>
      <c r="C59" s="26" t="n">
        <v>96</v>
      </c>
      <c r="D59" s="30" t="inlineStr">
        <is>
          <t xml:space="preserve"> Investment U.S. Equity Fund (RM-Hedged)</t>
        </is>
      </c>
      <c r="E59" s="26" t="inlineStr">
        <is>
          <t>RM</t>
        </is>
      </c>
      <c r="F59" s="26" t="n"/>
      <c r="G59" s="26" t="n"/>
      <c r="H59" s="26" t="inlineStr">
        <is>
          <t>RM</t>
        </is>
      </c>
      <c r="I59" s="26" t="n"/>
      <c r="J59" s="26" t="inlineStr">
        <is>
          <t>RM</t>
        </is>
      </c>
      <c r="K59" s="26">
        <f>IF(OR(G59="",I59=""),"",G59*I59)</f>
        <v/>
      </c>
      <c r="L59" s="26" t="inlineStr">
        <is>
          <t>RM</t>
        </is>
      </c>
      <c r="M59" s="26">
        <f>IF(ISERROR(K59-F59)," ",K59-F59)</f>
        <v/>
      </c>
      <c r="N59" s="2">
        <f>IF(ISERROR(M59/F59),"",IF(M59/F59=-1,"-",M59/F59))</f>
        <v/>
      </c>
      <c r="O59" s="26" t="inlineStr">
        <is>
          <t>RM</t>
        </is>
      </c>
      <c r="P59" s="23" t="n"/>
      <c r="Q59" s="26" t="inlineStr">
        <is>
          <t>Jun</t>
        </is>
      </c>
    </row>
    <row r="60" hidden="1" outlineLevel="1">
      <c r="A60" s="26" t="inlineStr">
        <is>
          <t>RM</t>
        </is>
      </c>
      <c r="B60" s="26">
        <f>+IF(ISERROR(F60/G60)," ",F60/G60)</f>
        <v/>
      </c>
      <c r="C60" s="26" t="n">
        <v>97</v>
      </c>
      <c r="D60" s="30" t="inlineStr">
        <is>
          <t xml:space="preserve"> Investment U.S. Equity Fund (USD)</t>
        </is>
      </c>
      <c r="E60" s="26" t="inlineStr">
        <is>
          <t>RM</t>
        </is>
      </c>
      <c r="F60" s="26" t="n"/>
      <c r="G60" s="26" t="n"/>
      <c r="H60" s="26" t="inlineStr">
        <is>
          <t>RM</t>
        </is>
      </c>
      <c r="I60" s="26" t="n"/>
      <c r="J60" s="26" t="inlineStr">
        <is>
          <t>RM</t>
        </is>
      </c>
      <c r="K60" s="26">
        <f>IF(OR(G60="",I60=""),"",G60*I60)</f>
        <v/>
      </c>
      <c r="L60" s="26" t="inlineStr">
        <is>
          <t>RM</t>
        </is>
      </c>
      <c r="M60" s="26">
        <f>IF(ISERROR(K60-F60)," ",K60-F60)</f>
        <v/>
      </c>
      <c r="N60" s="2">
        <f>IF(ISERROR(M60/F60),"",IF(M60/F60=-1,"-",M60/F60))</f>
        <v/>
      </c>
      <c r="O60" s="26" t="inlineStr">
        <is>
          <t>RM</t>
        </is>
      </c>
      <c r="P60" s="23" t="n"/>
      <c r="Q60" s="26" t="n"/>
    </row>
    <row r="61" hidden="1" outlineLevel="1">
      <c r="A61" s="26" t="inlineStr">
        <is>
          <t>RM</t>
        </is>
      </c>
      <c r="B61" s="26">
        <f>IF(ISERROR(F61/G61)," ",F61/G61)</f>
        <v/>
      </c>
      <c r="C61" s="26" t="n">
        <v>98</v>
      </c>
      <c r="D61" s="30" t="inlineStr">
        <is>
          <t xml:space="preserve"> Asia Total Return Bond Fund (RM Hedged)</t>
        </is>
      </c>
      <c r="E61" s="26" t="inlineStr">
        <is>
          <t>RM</t>
        </is>
      </c>
      <c r="F61" s="26" t="n"/>
      <c r="G61" s="26" t="n"/>
      <c r="H61" s="26" t="inlineStr">
        <is>
          <t>RM</t>
        </is>
      </c>
      <c r="I61" s="26" t="n"/>
      <c r="J61" s="26" t="inlineStr">
        <is>
          <t>RM</t>
        </is>
      </c>
      <c r="K61" s="26">
        <f>IF(OR(G61="",I61=""),"",G61*I61)</f>
        <v/>
      </c>
      <c r="L61" s="26" t="inlineStr">
        <is>
          <t>RM</t>
        </is>
      </c>
      <c r="M61" s="26">
        <f>IF(ISERROR(K61-F61)," ",K61-F61)</f>
        <v/>
      </c>
      <c r="N61" s="26">
        <f>IF(ISERROR(M61/F61),"",IF(M61/F61=-1,"-",M61/F61))</f>
        <v/>
      </c>
      <c r="O61" s="26" t="inlineStr">
        <is>
          <t>RM</t>
        </is>
      </c>
      <c r="P61" s="23" t="n"/>
      <c r="Q61" s="26" t="inlineStr">
        <is>
          <t>Dec</t>
        </is>
      </c>
    </row>
    <row r="62" hidden="1" outlineLevel="1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26" t="inlineStr">
        <is>
          <t>RM</t>
        </is>
      </c>
      <c r="P62" s="23" t="n"/>
      <c r="Q62" s="26" t="inlineStr">
        <is>
          <t>Mar</t>
        </is>
      </c>
    </row>
    <row r="63" hidden="1" outlineLevel="1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26" t="inlineStr">
        <is>
          <t>RM</t>
        </is>
      </c>
      <c r="P63" s="23" t="n"/>
      <c r="Q63" s="26" t="inlineStr">
        <is>
          <t>Jun</t>
        </is>
      </c>
    </row>
    <row r="64" hidden="1" outlineLevel="1">
      <c r="A64" s="43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26" t="inlineStr">
        <is>
          <t>RM</t>
        </is>
      </c>
      <c r="P64" s="23" t="n"/>
      <c r="Q64" s="26" t="inlineStr">
        <is>
          <t>Sep</t>
        </is>
      </c>
    </row>
    <row r="65" hidden="1" outlineLevel="1">
      <c r="A65" s="26" t="inlineStr">
        <is>
          <t>RM</t>
        </is>
      </c>
      <c r="B65" s="26">
        <f>IF(ISERROR(F65/G65)," ",F65/G65)</f>
        <v/>
      </c>
      <c r="C65" s="26" t="n">
        <v>99</v>
      </c>
      <c r="D65" s="30" t="inlineStr">
        <is>
          <t xml:space="preserve"> Asia Total Return Bond Fund (USD)</t>
        </is>
      </c>
      <c r="E65" s="26" t="inlineStr">
        <is>
          <t>RM</t>
        </is>
      </c>
      <c r="F65" s="26" t="n"/>
      <c r="G65" s="26" t="n"/>
      <c r="H65" s="26" t="inlineStr">
        <is>
          <t>RM</t>
        </is>
      </c>
      <c r="I65" s="26" t="n"/>
      <c r="J65" s="26" t="inlineStr">
        <is>
          <t>RM</t>
        </is>
      </c>
      <c r="K65" s="26">
        <f>IF(OR(G65="",I65=""),"",G65*I65)</f>
        <v/>
      </c>
      <c r="L65" s="26" t="inlineStr">
        <is>
          <t>RM</t>
        </is>
      </c>
      <c r="M65" s="26">
        <f>IF(ISERROR(K65-F65)," ",K65-F65)</f>
        <v/>
      </c>
      <c r="N65" s="26">
        <f>IF(ISERROR(M65/F65),"",IF(M65/F65=-1,"-",M65/F65))</f>
        <v/>
      </c>
      <c r="O65" s="26" t="inlineStr">
        <is>
          <t>RM</t>
        </is>
      </c>
      <c r="P65" s="23" t="n"/>
      <c r="Q65" s="26" t="inlineStr">
        <is>
          <t>Dec</t>
        </is>
      </c>
    </row>
    <row r="66" hidden="1" outlineLevel="1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26" t="inlineStr">
        <is>
          <t>RM</t>
        </is>
      </c>
      <c r="P66" s="23" t="n"/>
      <c r="Q66" s="26" t="inlineStr">
        <is>
          <t>Mar</t>
        </is>
      </c>
    </row>
    <row r="67" hidden="1" outlineLevel="1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26" t="inlineStr">
        <is>
          <t>RM</t>
        </is>
      </c>
      <c r="P67" s="23" t="n"/>
      <c r="Q67" s="26" t="inlineStr">
        <is>
          <t>Jun</t>
        </is>
      </c>
    </row>
    <row r="68" hidden="1" outlineLevel="1">
      <c r="A68" s="43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26" t="inlineStr">
        <is>
          <t>RM</t>
        </is>
      </c>
      <c r="P68" s="23" t="n"/>
      <c r="Q68" s="26" t="inlineStr">
        <is>
          <t>Sep</t>
        </is>
      </c>
    </row>
    <row r="69" hidden="1" outlineLevel="1">
      <c r="A69" s="26" t="inlineStr">
        <is>
          <t>RM</t>
        </is>
      </c>
      <c r="B69" s="26">
        <f>IF(ISERROR(F69/G69)," ",F69/G69)</f>
        <v/>
      </c>
      <c r="C69" s="26" t="n">
        <v>100</v>
      </c>
      <c r="D69" s="30" t="inlineStr">
        <is>
          <t xml:space="preserve"> Asia Total Return Bond Fund (CNH Hedged)</t>
        </is>
      </c>
      <c r="E69" s="26" t="inlineStr">
        <is>
          <t>RM</t>
        </is>
      </c>
      <c r="F69" s="26" t="n"/>
      <c r="G69" s="26" t="n"/>
      <c r="H69" s="26" t="inlineStr">
        <is>
          <t>RM</t>
        </is>
      </c>
      <c r="I69" s="26" t="n"/>
      <c r="J69" s="26" t="inlineStr">
        <is>
          <t>RM</t>
        </is>
      </c>
      <c r="K69" s="26">
        <f>IF(OR(G69="",I69=""),"",G69*I69)</f>
        <v/>
      </c>
      <c r="L69" s="26" t="inlineStr">
        <is>
          <t>RM</t>
        </is>
      </c>
      <c r="M69" s="26">
        <f>IF(ISERROR(K69-F69)," ",K69-F69)</f>
        <v/>
      </c>
      <c r="N69" s="26">
        <f>IF(ISERROR(M69/F69),"",IF(M69/F69=-1,"-",M69/F69))</f>
        <v/>
      </c>
      <c r="O69" s="26" t="inlineStr">
        <is>
          <t>RM</t>
        </is>
      </c>
      <c r="P69" s="23" t="n"/>
      <c r="Q69" s="26" t="inlineStr">
        <is>
          <t>Dec</t>
        </is>
      </c>
    </row>
    <row r="70" hidden="1" outlineLevel="1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26" t="inlineStr">
        <is>
          <t>RM</t>
        </is>
      </c>
      <c r="P70" s="23" t="n"/>
      <c r="Q70" s="26" t="inlineStr">
        <is>
          <t>Mar</t>
        </is>
      </c>
    </row>
    <row r="71" hidden="1" outlineLevel="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26" t="inlineStr">
        <is>
          <t>RM</t>
        </is>
      </c>
      <c r="P71" s="23" t="n"/>
      <c r="Q71" s="26" t="inlineStr">
        <is>
          <t>Jun</t>
        </is>
      </c>
    </row>
    <row r="72" hidden="1" outlineLevel="1">
      <c r="A72" s="43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26" t="inlineStr">
        <is>
          <t>RM</t>
        </is>
      </c>
      <c r="P72" s="23" t="n"/>
      <c r="Q72" s="26" t="inlineStr">
        <is>
          <t>Sep</t>
        </is>
      </c>
    </row>
    <row r="73" collapsed="1">
      <c r="A73" s="26" t="inlineStr">
        <is>
          <t>RM</t>
        </is>
      </c>
      <c r="B73" s="26">
        <f>IF(ISERROR(F73/G73)," ",F73/G73)</f>
        <v/>
      </c>
      <c r="C73" s="26" t="n">
        <v>103</v>
      </c>
      <c r="D73" s="30" t="inlineStr">
        <is>
          <t>SHARIAH GLO.REIT-RM</t>
        </is>
      </c>
      <c r="E73" s="26" t="inlineStr">
        <is>
          <t>RM</t>
        </is>
      </c>
      <c r="F73" s="26" t="n"/>
      <c r="G73" s="26" t="n"/>
      <c r="H73" s="26" t="inlineStr">
        <is>
          <t>RM</t>
        </is>
      </c>
      <c r="I73" s="26" t="n"/>
      <c r="J73" s="26" t="inlineStr">
        <is>
          <t>RM</t>
        </is>
      </c>
      <c r="K73" s="26">
        <f>IF(OR(G73="",I73=""),"",G73*I73)</f>
        <v/>
      </c>
      <c r="L73" s="26" t="inlineStr">
        <is>
          <t>RM</t>
        </is>
      </c>
      <c r="M73" s="26">
        <f>IF(ISERROR(K73-F73)," ",K73-F73)</f>
        <v/>
      </c>
      <c r="N73" s="26">
        <f>IF(ISERROR(M73/F73),"",IF(M73/F73=-1,"-",M73/F73))</f>
        <v/>
      </c>
      <c r="O73" s="26" t="inlineStr">
        <is>
          <t>RM</t>
        </is>
      </c>
      <c r="P73" s="23" t="n"/>
      <c r="Q73" s="26" t="inlineStr">
        <is>
          <t>Jun</t>
        </is>
      </c>
    </row>
    <row r="74">
      <c r="A74" s="43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26" t="inlineStr">
        <is>
          <t>RM</t>
        </is>
      </c>
      <c r="P74" s="23" t="n"/>
      <c r="Q74" s="26" t="inlineStr">
        <is>
          <t>Dec</t>
        </is>
      </c>
    </row>
    <row r="75" hidden="1" outlineLevel="1">
      <c r="A75" s="26" t="inlineStr">
        <is>
          <t>RM</t>
        </is>
      </c>
      <c r="B75" s="26">
        <f>IF(ISERROR(F75/G75)," ",F75/G75)</f>
        <v/>
      </c>
      <c r="C75" s="26" t="n">
        <v>104</v>
      </c>
      <c r="D75" s="30" t="inlineStr">
        <is>
          <t xml:space="preserve"> Shariah Global REIT USD</t>
        </is>
      </c>
      <c r="E75" s="26" t="inlineStr">
        <is>
          <t>RM</t>
        </is>
      </c>
      <c r="F75" s="26" t="n"/>
      <c r="G75" s="26" t="n"/>
      <c r="H75" s="26" t="inlineStr">
        <is>
          <t>RM</t>
        </is>
      </c>
      <c r="I75" s="26" t="n"/>
      <c r="J75" s="26" t="inlineStr">
        <is>
          <t>RM</t>
        </is>
      </c>
      <c r="K75" s="26">
        <f>IF(OR(G75="",I75=""),"",G75*I75)</f>
        <v/>
      </c>
      <c r="L75" s="26" t="inlineStr">
        <is>
          <t>RM</t>
        </is>
      </c>
      <c r="M75" s="26">
        <f>IF(ISERROR(K75-F75)," ",K75-F75)</f>
        <v/>
      </c>
      <c r="N75" s="26">
        <f>IF(ISERROR(M75/F75),"",IF(M75/F75=-1,"-",M75/F75))</f>
        <v/>
      </c>
      <c r="O75" s="26" t="inlineStr">
        <is>
          <t>RM</t>
        </is>
      </c>
      <c r="P75" s="23" t="n"/>
      <c r="Q75" s="26" t="inlineStr">
        <is>
          <t>Dec</t>
        </is>
      </c>
    </row>
    <row r="76" hidden="1" outlineLevel="1">
      <c r="A76" s="43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26" t="inlineStr">
        <is>
          <t>RM</t>
        </is>
      </c>
      <c r="P76" s="23" t="n"/>
      <c r="Q76" s="26" t="inlineStr">
        <is>
          <t>Jun</t>
        </is>
      </c>
    </row>
    <row r="77" hidden="1" outlineLevel="1">
      <c r="A77" s="26" t="inlineStr">
        <is>
          <t>RM</t>
        </is>
      </c>
      <c r="B77" s="26">
        <f>IF(ISERROR(F77/G77)," ",F77/G77)</f>
        <v/>
      </c>
      <c r="C77" s="26" t="n">
        <v>107</v>
      </c>
      <c r="D77" s="30" t="inlineStr">
        <is>
          <t>ASEAN EQUITY-RMH</t>
        </is>
      </c>
      <c r="E77" s="26" t="inlineStr">
        <is>
          <t>RM</t>
        </is>
      </c>
      <c r="F77" s="26" t="n"/>
      <c r="G77" s="26" t="n"/>
      <c r="H77" s="26" t="inlineStr">
        <is>
          <t>RM</t>
        </is>
      </c>
      <c r="I77" s="26" t="n"/>
      <c r="J77" s="26" t="inlineStr">
        <is>
          <t>RM</t>
        </is>
      </c>
      <c r="K77" s="26">
        <f>IF(OR(G77="",I77=""),"",G77*I77)</f>
        <v/>
      </c>
      <c r="L77" s="26" t="inlineStr">
        <is>
          <t>RM</t>
        </is>
      </c>
      <c r="M77" s="26">
        <f>IF(ISERROR(K77-F77)," ",K77-F77)</f>
        <v/>
      </c>
      <c r="N77" s="2">
        <f>IF(ISERROR(M77/F77),"",IF(M77/F77=-1,"-",M77/F77))</f>
        <v/>
      </c>
      <c r="O77" s="26" t="inlineStr">
        <is>
          <t>RM</t>
        </is>
      </c>
      <c r="P77" s="23" t="n"/>
      <c r="Q77" s="26" t="n"/>
    </row>
    <row r="78" hidden="1" outlineLevel="1">
      <c r="A78" s="26" t="inlineStr">
        <is>
          <t>RM</t>
        </is>
      </c>
      <c r="B78" s="26">
        <f>IF(ISERROR(F78/G78)," ",F78/G78)</f>
        <v/>
      </c>
      <c r="C78" s="26" t="n">
        <v>108</v>
      </c>
      <c r="D78" s="30" t="inlineStr">
        <is>
          <t xml:space="preserve"> ASEAN Equity Fund - USD Class</t>
        </is>
      </c>
      <c r="E78" s="26" t="inlineStr">
        <is>
          <t>RM</t>
        </is>
      </c>
      <c r="F78" s="26" t="n"/>
      <c r="G78" s="26" t="n"/>
      <c r="H78" s="26" t="inlineStr">
        <is>
          <t>RM</t>
        </is>
      </c>
      <c r="I78" s="26" t="n"/>
      <c r="J78" s="26" t="inlineStr">
        <is>
          <t>RM</t>
        </is>
      </c>
      <c r="K78" s="26">
        <f>IF(OR(G78="",I78=""),"",G78*I78)</f>
        <v/>
      </c>
      <c r="L78" s="26" t="inlineStr">
        <is>
          <t>RM</t>
        </is>
      </c>
      <c r="M78" s="26">
        <f>IF(ISERROR(K78-F78)," ",K78-F78)</f>
        <v/>
      </c>
      <c r="N78" s="2">
        <f>IF(ISERROR(M78/F78),"",IF(M78/F78=-1,"-",M78/F78))</f>
        <v/>
      </c>
      <c r="O78" s="26" t="inlineStr">
        <is>
          <t>RM</t>
        </is>
      </c>
      <c r="P78" s="23" t="n"/>
      <c r="Q78" s="26" t="n"/>
    </row>
    <row r="79" hidden="1" outlineLevel="1">
      <c r="A79" s="26" t="inlineStr">
        <is>
          <t>RM</t>
        </is>
      </c>
      <c r="B79" s="26">
        <f>IF(ISERROR(F79/G79)," ",F79/G79)</f>
        <v/>
      </c>
      <c r="C79" s="26" t="n">
        <v>109</v>
      </c>
      <c r="D79" s="30" t="inlineStr">
        <is>
          <t xml:space="preserve"> Wholesale Corporate Bond Fund - Class I</t>
        </is>
      </c>
      <c r="E79" s="26" t="inlineStr">
        <is>
          <t>RM</t>
        </is>
      </c>
      <c r="F79" s="26" t="n"/>
      <c r="G79" s="26" t="n"/>
      <c r="H79" s="26" t="inlineStr">
        <is>
          <t>RM</t>
        </is>
      </c>
      <c r="I79" s="26" t="n"/>
      <c r="J79" s="26" t="inlineStr">
        <is>
          <t>RM</t>
        </is>
      </c>
      <c r="K79" s="26">
        <f>IF(OR(G79="",I79=""),"",G79*I79)</f>
        <v/>
      </c>
      <c r="L79" s="26" t="inlineStr">
        <is>
          <t>RM</t>
        </is>
      </c>
      <c r="M79" s="26">
        <f>IF(ISERROR(K79-F79)," ",K79-F79)</f>
        <v/>
      </c>
      <c r="N79" s="26">
        <f>IF(ISERROR(M79/F79),"",IF(M79/F79=-1,"-",M79/F79))</f>
        <v/>
      </c>
      <c r="O79" s="26" t="inlineStr">
        <is>
          <t>RM</t>
        </is>
      </c>
      <c r="P79" s="23" t="n"/>
      <c r="Q79" s="26" t="inlineStr">
        <is>
          <t>Jan</t>
        </is>
      </c>
    </row>
    <row r="80" hidden="1" outlineLevel="1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26" t="inlineStr">
        <is>
          <t>RM</t>
        </is>
      </c>
      <c r="P80" s="23" t="n"/>
      <c r="Q80" s="26" t="inlineStr">
        <is>
          <t>Feb</t>
        </is>
      </c>
    </row>
    <row r="81" hidden="1" outlineLevel="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26" t="inlineStr">
        <is>
          <t>RM</t>
        </is>
      </c>
      <c r="P81" s="23" t="n"/>
      <c r="Q81" s="26" t="inlineStr">
        <is>
          <t>Mar</t>
        </is>
      </c>
    </row>
    <row r="82" hidden="1" outlineLevel="1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26" t="inlineStr">
        <is>
          <t>RM</t>
        </is>
      </c>
      <c r="P82" s="23" t="n"/>
      <c r="Q82" s="26" t="inlineStr">
        <is>
          <t>Apr</t>
        </is>
      </c>
    </row>
    <row r="83" hidden="1" outlineLevel="1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26" t="inlineStr">
        <is>
          <t>RM</t>
        </is>
      </c>
      <c r="P83" s="23" t="n"/>
      <c r="Q83" s="26" t="inlineStr">
        <is>
          <t>May</t>
        </is>
      </c>
    </row>
    <row r="84" hidden="1" outlineLevel="1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26" t="inlineStr">
        <is>
          <t>RM</t>
        </is>
      </c>
      <c r="P84" s="23" t="n"/>
      <c r="Q84" s="26" t="inlineStr">
        <is>
          <t>Jun</t>
        </is>
      </c>
    </row>
    <row r="85" hidden="1" outlineLevel="1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26" t="inlineStr">
        <is>
          <t>RM</t>
        </is>
      </c>
      <c r="P85" s="23" t="n"/>
      <c r="Q85" s="26" t="inlineStr">
        <is>
          <t>Jul</t>
        </is>
      </c>
    </row>
    <row r="86" hidden="1" outlineLevel="1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26" t="inlineStr">
        <is>
          <t>RM</t>
        </is>
      </c>
      <c r="P86" s="23" t="n"/>
      <c r="Q86" s="26" t="inlineStr">
        <is>
          <t>Aug</t>
        </is>
      </c>
    </row>
    <row r="87" hidden="1" outlineLevel="1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26" t="inlineStr">
        <is>
          <t>RM</t>
        </is>
      </c>
      <c r="P87" s="23" t="n"/>
      <c r="Q87" s="26" t="inlineStr">
        <is>
          <t>Sep</t>
        </is>
      </c>
    </row>
    <row r="88" hidden="1" outlineLevel="1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26" t="inlineStr">
        <is>
          <t>RM</t>
        </is>
      </c>
      <c r="P88" s="23" t="n"/>
      <c r="Q88" s="26" t="inlineStr">
        <is>
          <t>Oct</t>
        </is>
      </c>
    </row>
    <row r="89" hidden="1" outlineLevel="1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26" t="inlineStr">
        <is>
          <t>RM</t>
        </is>
      </c>
      <c r="P89" s="23" t="n"/>
      <c r="Q89" s="26" t="inlineStr">
        <is>
          <t>Nov</t>
        </is>
      </c>
    </row>
    <row r="90" hidden="1" outlineLevel="1">
      <c r="A90" s="43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26" t="inlineStr">
        <is>
          <t>RM</t>
        </is>
      </c>
      <c r="P90" s="23" t="n"/>
      <c r="Q90" s="26" t="inlineStr">
        <is>
          <t>Dec</t>
        </is>
      </c>
    </row>
    <row r="91" hidden="1" outlineLevel="1">
      <c r="A91" s="26" t="inlineStr">
        <is>
          <t>RM</t>
        </is>
      </c>
      <c r="B91" s="26">
        <f>IF(ISERROR(F91/G91)," ",F91/G91)</f>
        <v/>
      </c>
      <c r="C91" s="26" t="n">
        <v>110</v>
      </c>
      <c r="D91" s="30" t="inlineStr">
        <is>
          <t xml:space="preserve"> Wholesale Government Bond Fund - Class I</t>
        </is>
      </c>
      <c r="E91" s="26" t="inlineStr">
        <is>
          <t>RM</t>
        </is>
      </c>
      <c r="F91" s="26" t="n"/>
      <c r="G91" s="26" t="n"/>
      <c r="H91" s="26" t="inlineStr">
        <is>
          <t>RM</t>
        </is>
      </c>
      <c r="I91" s="26" t="n"/>
      <c r="J91" s="26" t="inlineStr">
        <is>
          <t>RM</t>
        </is>
      </c>
      <c r="K91" s="26">
        <f>IF(OR(G91="",I91=""),"",G91*I91)</f>
        <v/>
      </c>
      <c r="L91" s="26" t="inlineStr">
        <is>
          <t>RM</t>
        </is>
      </c>
      <c r="M91" s="26">
        <f>IF(ISERROR(K91-F91)," ",K91-F91)</f>
        <v/>
      </c>
      <c r="N91" s="26">
        <f>IF(ISERROR(M91/F91),"",IF(M91/F91=-1,"-",M91/F91))</f>
        <v/>
      </c>
      <c r="O91" s="26" t="inlineStr">
        <is>
          <t>RM</t>
        </is>
      </c>
      <c r="P91" s="23" t="n"/>
      <c r="Q91" s="26" t="inlineStr">
        <is>
          <t>Jan</t>
        </is>
      </c>
    </row>
    <row r="92" hidden="1" outlineLevel="1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26" t="inlineStr">
        <is>
          <t>RM</t>
        </is>
      </c>
      <c r="P92" s="23" t="n"/>
      <c r="Q92" s="26" t="inlineStr">
        <is>
          <t>Feb</t>
        </is>
      </c>
    </row>
    <row r="93" hidden="1" outlineLevel="1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26" t="inlineStr">
        <is>
          <t>RM</t>
        </is>
      </c>
      <c r="P93" s="23" t="n"/>
      <c r="Q93" s="26" t="inlineStr">
        <is>
          <t>Mar</t>
        </is>
      </c>
    </row>
    <row r="94" hidden="1" outlineLevel="1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26" t="inlineStr">
        <is>
          <t>RM</t>
        </is>
      </c>
      <c r="P94" s="23" t="n"/>
      <c r="Q94" s="26" t="inlineStr">
        <is>
          <t>Apr</t>
        </is>
      </c>
    </row>
    <row r="95" hidden="1" outlineLevel="1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26" t="inlineStr">
        <is>
          <t>RM</t>
        </is>
      </c>
      <c r="P95" s="23" t="n"/>
      <c r="Q95" s="26" t="inlineStr">
        <is>
          <t>May</t>
        </is>
      </c>
    </row>
    <row r="96" hidden="1" outlineLevel="1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26" t="inlineStr">
        <is>
          <t>RM</t>
        </is>
      </c>
      <c r="P96" s="23" t="n"/>
      <c r="Q96" s="26" t="inlineStr">
        <is>
          <t>Jun</t>
        </is>
      </c>
    </row>
    <row r="97" hidden="1" outlineLevel="1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26" t="inlineStr">
        <is>
          <t>RM</t>
        </is>
      </c>
      <c r="P97" s="23" t="n"/>
      <c r="Q97" s="26" t="inlineStr">
        <is>
          <t>Jul</t>
        </is>
      </c>
    </row>
    <row r="98" hidden="1" outlineLevel="1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26" t="inlineStr">
        <is>
          <t>RM</t>
        </is>
      </c>
      <c r="P98" s="23" t="n"/>
      <c r="Q98" s="26" t="inlineStr">
        <is>
          <t>Aug</t>
        </is>
      </c>
    </row>
    <row r="99" hidden="1" outlineLevel="1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26" t="inlineStr">
        <is>
          <t>RM</t>
        </is>
      </c>
      <c r="P99" s="23" t="n"/>
      <c r="Q99" s="26" t="inlineStr">
        <is>
          <t>Sep</t>
        </is>
      </c>
    </row>
    <row r="100" hidden="1" outlineLevel="1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26" t="inlineStr">
        <is>
          <t>RM</t>
        </is>
      </c>
      <c r="P100" s="23" t="n"/>
      <c r="Q100" s="26" t="inlineStr">
        <is>
          <t>Oct</t>
        </is>
      </c>
    </row>
    <row r="101" hidden="1" outlineLevel="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26" t="inlineStr">
        <is>
          <t>RM</t>
        </is>
      </c>
      <c r="P101" s="23" t="n"/>
      <c r="Q101" s="26" t="inlineStr">
        <is>
          <t>Nov</t>
        </is>
      </c>
    </row>
    <row r="102" hidden="1" outlineLevel="1">
      <c r="A102" s="43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26" t="inlineStr">
        <is>
          <t>RM</t>
        </is>
      </c>
      <c r="P102" s="23" t="n"/>
      <c r="Q102" s="26" t="inlineStr">
        <is>
          <t>Dec</t>
        </is>
      </c>
    </row>
    <row r="103" collapsed="1">
      <c r="A103" s="26" t="inlineStr">
        <is>
          <t>RM</t>
        </is>
      </c>
      <c r="B103" s="26">
        <f>IF(ISERROR(F103/G103)," ",F103/G103)</f>
        <v/>
      </c>
      <c r="C103" s="26" t="n">
        <v>111</v>
      </c>
      <c r="D103" s="30" t="inlineStr">
        <is>
          <t>GMA DVSF INC -RMH</t>
        </is>
      </c>
      <c r="E103" s="26" t="inlineStr">
        <is>
          <t>RM</t>
        </is>
      </c>
      <c r="F103" s="26" t="n"/>
      <c r="G103" s="26" t="n"/>
      <c r="H103" s="26" t="inlineStr">
        <is>
          <t>RM</t>
        </is>
      </c>
      <c r="I103" s="26" t="n"/>
      <c r="J103" s="26" t="inlineStr">
        <is>
          <t>RM</t>
        </is>
      </c>
      <c r="K103" s="26">
        <f>IF(OR(G103="",I103=""),"",G103*I103)</f>
        <v/>
      </c>
      <c r="L103" s="26" t="inlineStr">
        <is>
          <t>RM</t>
        </is>
      </c>
      <c r="M103" s="26">
        <f>IF(ISERROR(K103-F103)," ",K103-F103)</f>
        <v/>
      </c>
      <c r="N103" s="26">
        <f>IF(ISERROR(M103/F103),"",IF(M103/F103=-1,"-",M103/F103))</f>
        <v/>
      </c>
      <c r="O103" s="26" t="inlineStr">
        <is>
          <t>RM</t>
        </is>
      </c>
      <c r="P103" s="23" t="n"/>
      <c r="Q103" s="26" t="inlineStr">
        <is>
          <t>Jan</t>
        </is>
      </c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26" t="inlineStr">
        <is>
          <t>RM</t>
        </is>
      </c>
      <c r="P104" s="23" t="n"/>
      <c r="Q104" s="26" t="inlineStr">
        <is>
          <t>Feb</t>
        </is>
      </c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26" t="inlineStr">
        <is>
          <t>RM</t>
        </is>
      </c>
      <c r="P105" s="23" t="n"/>
      <c r="Q105" s="26" t="inlineStr">
        <is>
          <t>Mar</t>
        </is>
      </c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26" t="inlineStr">
        <is>
          <t>RM</t>
        </is>
      </c>
      <c r="P106" s="23" t="n"/>
      <c r="Q106" s="26" t="inlineStr">
        <is>
          <t>Apr</t>
        </is>
      </c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26" t="inlineStr">
        <is>
          <t>RM</t>
        </is>
      </c>
      <c r="P107" s="23" t="n"/>
      <c r="Q107" s="26" t="inlineStr">
        <is>
          <t>May</t>
        </is>
      </c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26" t="inlineStr">
        <is>
          <t>RM</t>
        </is>
      </c>
      <c r="P108" s="23" t="n"/>
      <c r="Q108" s="26" t="inlineStr">
        <is>
          <t>Jun</t>
        </is>
      </c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26" t="inlineStr">
        <is>
          <t>RM</t>
        </is>
      </c>
      <c r="P109" s="23" t="n"/>
      <c r="Q109" s="26" t="inlineStr">
        <is>
          <t>Jul</t>
        </is>
      </c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26" t="inlineStr">
        <is>
          <t>RM</t>
        </is>
      </c>
      <c r="P110" s="23" t="n"/>
      <c r="Q110" s="26" t="inlineStr">
        <is>
          <t>Aug</t>
        </is>
      </c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26" t="inlineStr">
        <is>
          <t>RM</t>
        </is>
      </c>
      <c r="P111" s="23" t="n"/>
      <c r="Q111" s="26" t="inlineStr">
        <is>
          <t>Sep</t>
        </is>
      </c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26" t="inlineStr">
        <is>
          <t>RM</t>
        </is>
      </c>
      <c r="P112" s="23" t="n"/>
      <c r="Q112" s="26" t="inlineStr">
        <is>
          <t>Oct</t>
        </is>
      </c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26" t="inlineStr">
        <is>
          <t>RM</t>
        </is>
      </c>
      <c r="P113" s="23" t="n"/>
      <c r="Q113" s="26" t="inlineStr">
        <is>
          <t>Nov</t>
        </is>
      </c>
    </row>
    <row r="114">
      <c r="A114" s="43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26" t="inlineStr">
        <is>
          <t>RM</t>
        </is>
      </c>
      <c r="P114" s="23" t="n"/>
      <c r="Q114" s="26" t="inlineStr">
        <is>
          <t>Dec</t>
        </is>
      </c>
    </row>
    <row r="115" hidden="1" outlineLevel="1">
      <c r="A115" s="26" t="inlineStr">
        <is>
          <t>RM</t>
        </is>
      </c>
      <c r="B115" s="26">
        <f>IF(ISERROR(F115/G115)," ",F115/G115)</f>
        <v/>
      </c>
      <c r="C115" s="26" t="n">
        <v>112</v>
      </c>
      <c r="D115" s="30" t="inlineStr">
        <is>
          <t xml:space="preserve"> Global Multi-Asset Diversified Income Fund -A (USD)(G) Class</t>
        </is>
      </c>
      <c r="E115" s="26" t="inlineStr">
        <is>
          <t>RM</t>
        </is>
      </c>
      <c r="F115" s="26" t="n"/>
      <c r="G115" s="26" t="n"/>
      <c r="H115" s="26" t="inlineStr">
        <is>
          <t>RM</t>
        </is>
      </c>
      <c r="I115" s="26" t="n"/>
      <c r="J115" s="26" t="inlineStr">
        <is>
          <t>RM</t>
        </is>
      </c>
      <c r="K115" s="26">
        <f>IF(OR(G115="",I115=""),"",G115*I115)</f>
        <v/>
      </c>
      <c r="L115" s="26" t="inlineStr">
        <is>
          <t>RM</t>
        </is>
      </c>
      <c r="M115" s="26">
        <f>IF(ISERROR(K115-F115)," ",K115-F115)</f>
        <v/>
      </c>
      <c r="N115" s="26">
        <f>IF(ISERROR(M115/F115),"",IF(M115/F115=-1,"-",M115/F115))</f>
        <v/>
      </c>
      <c r="O115" s="26" t="inlineStr">
        <is>
          <t>RM</t>
        </is>
      </c>
      <c r="P115" s="23" t="n"/>
      <c r="Q115" s="26" t="inlineStr">
        <is>
          <t>Jul</t>
        </is>
      </c>
    </row>
    <row r="116" hidden="1" outlineLevel="1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26" t="inlineStr">
        <is>
          <t>RM</t>
        </is>
      </c>
      <c r="P116" s="23" t="n"/>
      <c r="Q116" s="26" t="inlineStr">
        <is>
          <t>Aug</t>
        </is>
      </c>
    </row>
    <row r="117" hidden="1" outlineLevel="1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26" t="inlineStr">
        <is>
          <t>RM</t>
        </is>
      </c>
      <c r="P117" s="23" t="n"/>
      <c r="Q117" s="26" t="inlineStr">
        <is>
          <t>Sep</t>
        </is>
      </c>
    </row>
    <row r="118" hidden="1" outlineLevel="1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26" t="inlineStr">
        <is>
          <t>RM</t>
        </is>
      </c>
      <c r="P118" s="23" t="n"/>
      <c r="Q118" s="26" t="inlineStr">
        <is>
          <t>Oct</t>
        </is>
      </c>
    </row>
    <row r="119" hidden="1" outlineLevel="1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26" t="inlineStr">
        <is>
          <t>RM</t>
        </is>
      </c>
      <c r="P119" s="23" t="n"/>
      <c r="Q119" s="26" t="inlineStr">
        <is>
          <t>Nov</t>
        </is>
      </c>
    </row>
    <row r="120" hidden="1" outlineLevel="1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26" t="inlineStr">
        <is>
          <t>RM</t>
        </is>
      </c>
      <c r="P120" s="23" t="n"/>
      <c r="Q120" s="26" t="inlineStr">
        <is>
          <t>Dec</t>
        </is>
      </c>
    </row>
    <row r="121" hidden="1" outlineLevel="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26" t="inlineStr">
        <is>
          <t>RM</t>
        </is>
      </c>
      <c r="P121" s="23" t="n"/>
      <c r="Q121" s="26" t="inlineStr">
        <is>
          <t>Jan</t>
        </is>
      </c>
    </row>
    <row r="122" hidden="1" outlineLevel="1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26" t="inlineStr">
        <is>
          <t>RM</t>
        </is>
      </c>
      <c r="P122" s="23" t="n"/>
      <c r="Q122" s="26" t="inlineStr">
        <is>
          <t>Feb</t>
        </is>
      </c>
    </row>
    <row r="123" hidden="1" outlineLevel="1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26" t="inlineStr">
        <is>
          <t>RM</t>
        </is>
      </c>
      <c r="P123" s="23" t="n"/>
      <c r="Q123" s="26" t="inlineStr">
        <is>
          <t>Mar</t>
        </is>
      </c>
    </row>
    <row r="124" hidden="1" outlineLevel="1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26" t="inlineStr">
        <is>
          <t>RM</t>
        </is>
      </c>
      <c r="P124" s="23" t="n"/>
      <c r="Q124" s="26" t="inlineStr">
        <is>
          <t>Apr</t>
        </is>
      </c>
    </row>
    <row r="125" hidden="1" outlineLevel="1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26" t="inlineStr">
        <is>
          <t>RM</t>
        </is>
      </c>
      <c r="P125" s="23" t="n"/>
      <c r="Q125" s="26" t="inlineStr">
        <is>
          <t>May</t>
        </is>
      </c>
    </row>
    <row r="126" hidden="1" outlineLevel="1">
      <c r="A126" s="43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26" t="inlineStr">
        <is>
          <t>RM</t>
        </is>
      </c>
      <c r="P126" s="23" t="n"/>
      <c r="Q126" s="26" t="inlineStr">
        <is>
          <t>Jun</t>
        </is>
      </c>
    </row>
    <row r="127" hidden="1" outlineLevel="1">
      <c r="A127" s="26" t="inlineStr">
        <is>
          <t>RM</t>
        </is>
      </c>
      <c r="B127" s="26">
        <f>IF(ISERROR(F127/G127)," ",F127/G127)</f>
        <v/>
      </c>
      <c r="C127" s="26" t="n">
        <v>113</v>
      </c>
      <c r="D127" s="30" t="inlineStr">
        <is>
          <t>GLOBAL LOW VOL EQUITY-RMH</t>
        </is>
      </c>
      <c r="E127" s="26" t="inlineStr">
        <is>
          <t>RM</t>
        </is>
      </c>
      <c r="F127" s="26" t="n"/>
      <c r="G127" s="26" t="n"/>
      <c r="H127" s="26" t="inlineStr">
        <is>
          <t>RM</t>
        </is>
      </c>
      <c r="I127" s="26" t="n"/>
      <c r="J127" s="26" t="inlineStr">
        <is>
          <t>RM</t>
        </is>
      </c>
      <c r="K127" s="26">
        <f>IF(OR(G127="",I127=""),"",G127*I127)</f>
        <v/>
      </c>
      <c r="L127" s="26" t="inlineStr">
        <is>
          <t>RM</t>
        </is>
      </c>
      <c r="M127" s="26">
        <f>IF(ISERROR(K127-F127)," ",K127-F127)</f>
        <v/>
      </c>
      <c r="N127" s="2">
        <f>IF(ISERROR(M127/F127),"",IF(M127/F127=-1,"-",M127/F127))</f>
        <v/>
      </c>
      <c r="O127" s="26" t="inlineStr">
        <is>
          <t>RM</t>
        </is>
      </c>
      <c r="P127" s="23" t="n"/>
      <c r="Q127" s="26" t="n"/>
    </row>
    <row r="128" hidden="1" outlineLevel="1">
      <c r="A128" s="26" t="inlineStr">
        <is>
          <t>RM</t>
        </is>
      </c>
      <c r="B128" s="26">
        <f>IF(ISERROR(F128/G128)," ",F128/G128)</f>
        <v/>
      </c>
      <c r="C128" s="26" t="n">
        <v>114</v>
      </c>
      <c r="D128" s="30" t="inlineStr">
        <is>
          <t xml:space="preserve"> Global Low Volatility Equity Fund A(USD) Class</t>
        </is>
      </c>
      <c r="E128" s="26" t="inlineStr">
        <is>
          <t>RM</t>
        </is>
      </c>
      <c r="F128" s="26" t="n"/>
      <c r="G128" s="26" t="n"/>
      <c r="H128" s="26" t="inlineStr">
        <is>
          <t>RM</t>
        </is>
      </c>
      <c r="I128" s="26" t="n"/>
      <c r="J128" s="26" t="inlineStr">
        <is>
          <t>RM</t>
        </is>
      </c>
      <c r="K128" s="26">
        <f>IF(OR(G128="",I128=""),"",G128*I128)</f>
        <v/>
      </c>
      <c r="L128" s="26" t="inlineStr">
        <is>
          <t>RM</t>
        </is>
      </c>
      <c r="M128" s="26">
        <f>IF(ISERROR(K128-F128)," ",K128-F128)</f>
        <v/>
      </c>
      <c r="N128" s="2">
        <f>IF(ISERROR(M128/F128),"",IF(M128/F128=-1,"-",M128/F128))</f>
        <v/>
      </c>
      <c r="O128" s="26" t="inlineStr">
        <is>
          <t>RM</t>
        </is>
      </c>
      <c r="P128" s="23" t="n"/>
      <c r="Q128" s="26" t="n"/>
    </row>
    <row r="129" hidden="1" outlineLevel="1">
      <c r="A129" s="26" t="inlineStr">
        <is>
          <t>RM</t>
        </is>
      </c>
      <c r="B129" s="26">
        <f>IF(ISERROR(F129/G129)," ",F129/G129)</f>
        <v/>
      </c>
      <c r="C129" s="26" t="n">
        <v>115</v>
      </c>
      <c r="D129" s="30" t="inlineStr">
        <is>
          <t xml:space="preserve"> Preferred Securities Income Fund A(USD) Class</t>
        </is>
      </c>
      <c r="E129" s="26" t="inlineStr">
        <is>
          <t>RM</t>
        </is>
      </c>
      <c r="F129" s="26" t="n"/>
      <c r="G129" s="26" t="n"/>
      <c r="H129" s="26" t="inlineStr">
        <is>
          <t>RM</t>
        </is>
      </c>
      <c r="I129" s="26" t="n"/>
      <c r="J129" s="26" t="inlineStr">
        <is>
          <t>RM</t>
        </is>
      </c>
      <c r="K129" s="26">
        <f>IF(OR(G129="",I129=""),"",G129*I129)</f>
        <v/>
      </c>
      <c r="L129" s="26" t="inlineStr">
        <is>
          <t>RM</t>
        </is>
      </c>
      <c r="M129" s="26">
        <f>IF(ISERROR(K129-F129)," ",K129-F129)</f>
        <v/>
      </c>
      <c r="N129" s="26">
        <f>IF(ISERROR(M129/F129),"",IF(M129/F129=-1,"-",M129/F129))</f>
        <v/>
      </c>
      <c r="O129" s="26" t="inlineStr">
        <is>
          <t>RM</t>
        </is>
      </c>
      <c r="P129" s="23" t="n"/>
      <c r="Q129" s="26" t="inlineStr">
        <is>
          <t>Jul</t>
        </is>
      </c>
    </row>
    <row r="130" hidden="1" outlineLevel="1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26" t="inlineStr">
        <is>
          <t>RM</t>
        </is>
      </c>
      <c r="P130" s="23" t="n"/>
      <c r="Q130" s="26" t="inlineStr">
        <is>
          <t>Oct</t>
        </is>
      </c>
    </row>
    <row r="131" hidden="1" outlineLevel="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26" t="inlineStr">
        <is>
          <t>RM</t>
        </is>
      </c>
      <c r="P131" s="23" t="n"/>
      <c r="Q131" s="26" t="inlineStr">
        <is>
          <t>Jan</t>
        </is>
      </c>
    </row>
    <row r="132" hidden="1" outlineLevel="1">
      <c r="A132" s="43" t="n"/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26" t="inlineStr">
        <is>
          <t>RM</t>
        </is>
      </c>
      <c r="P132" s="23" t="n"/>
      <c r="Q132" s="26" t="inlineStr">
        <is>
          <t>Apr</t>
        </is>
      </c>
    </row>
    <row r="133" collapsed="1">
      <c r="A133" s="26" t="inlineStr">
        <is>
          <t>RM</t>
        </is>
      </c>
      <c r="B133" s="26">
        <f>IF(ISERROR(F133/G133)," ",F133/G133)</f>
        <v/>
      </c>
      <c r="C133" s="26" t="n">
        <v>116</v>
      </c>
      <c r="D133" s="31" t="inlineStr">
        <is>
          <t xml:space="preserve"> PREFERRED SECURITIES INCOME FUND A(RM-HEDGED) CLASS</t>
        </is>
      </c>
      <c r="E133" s="26" t="inlineStr">
        <is>
          <t>RM</t>
        </is>
      </c>
      <c r="F133" s="26" t="n"/>
      <c r="G133" s="26" t="n"/>
      <c r="H133" s="26" t="inlineStr">
        <is>
          <t>RM</t>
        </is>
      </c>
      <c r="I133" s="26" t="n"/>
      <c r="J133" s="26" t="inlineStr">
        <is>
          <t>RM</t>
        </is>
      </c>
      <c r="K133" s="26">
        <f>IF(OR(G133="",I133=""),"",G133*I133)</f>
        <v/>
      </c>
      <c r="L133" s="26" t="inlineStr">
        <is>
          <t>RM</t>
        </is>
      </c>
      <c r="M133" s="26">
        <f>IF(ISERROR(K133-F133)," ",K133-F133)</f>
        <v/>
      </c>
      <c r="N133" s="26">
        <f>IF(ISERROR(M133/F133),"",IF(M133/F133=-1,"-",M133/F133))</f>
        <v/>
      </c>
      <c r="O133" s="26" t="inlineStr">
        <is>
          <t>RM</t>
        </is>
      </c>
      <c r="P133" s="23" t="n"/>
      <c r="Q133" s="26" t="inlineStr">
        <is>
          <t>Jan</t>
        </is>
      </c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26" t="inlineStr">
        <is>
          <t>RM</t>
        </is>
      </c>
      <c r="P134" s="23" t="n"/>
      <c r="Q134" s="26" t="inlineStr">
        <is>
          <t>Apr</t>
        </is>
      </c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26" t="inlineStr">
        <is>
          <t>RM</t>
        </is>
      </c>
      <c r="P135" s="23" t="n"/>
      <c r="Q135" s="26" t="inlineStr">
        <is>
          <t>Jul</t>
        </is>
      </c>
    </row>
    <row r="136">
      <c r="A136" s="43" t="n"/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26" t="inlineStr">
        <is>
          <t>RM</t>
        </is>
      </c>
      <c r="P136" s="23" t="n"/>
      <c r="Q136" s="26" t="inlineStr">
        <is>
          <t>Oct</t>
        </is>
      </c>
    </row>
    <row r="137">
      <c r="A137" s="26" t="inlineStr">
        <is>
          <t>RM</t>
        </is>
      </c>
      <c r="B137" s="26">
        <f>IF(ISERROR(F137/G137)," ",F137/G137)</f>
        <v/>
      </c>
      <c r="C137" s="26" t="n">
        <v>117</v>
      </c>
      <c r="D137" s="30" t="inlineStr">
        <is>
          <t>GLOBAL HEALTHCARE-RMH</t>
        </is>
      </c>
      <c r="E137" s="26" t="inlineStr">
        <is>
          <t>RM</t>
        </is>
      </c>
      <c r="F137" s="26" t="n"/>
      <c r="G137" s="26" t="n"/>
      <c r="H137" s="26" t="inlineStr">
        <is>
          <t>RM</t>
        </is>
      </c>
      <c r="I137" s="26" t="n"/>
      <c r="J137" s="26" t="inlineStr">
        <is>
          <t>RM</t>
        </is>
      </c>
      <c r="K137" s="26">
        <f>IF(OR(G137="",I137=""),"",G137*I137)</f>
        <v/>
      </c>
      <c r="L137" s="26" t="inlineStr">
        <is>
          <t>RM</t>
        </is>
      </c>
      <c r="M137" s="26">
        <f>IF(ISERROR(K137-F137)," ",K137-F137)</f>
        <v/>
      </c>
      <c r="N137" s="2">
        <f>IF(ISERROR(M137/F137),"",IF(M137/F137=-1,"-",M137/F137))</f>
        <v/>
      </c>
      <c r="O137" s="26" t="inlineStr">
        <is>
          <t>RM</t>
        </is>
      </c>
      <c r="P137" s="23" t="n"/>
      <c r="Q137" s="26" t="inlineStr">
        <is>
          <t>Jul</t>
        </is>
      </c>
    </row>
    <row r="138">
      <c r="A138" s="26" t="inlineStr">
        <is>
          <t>RM</t>
        </is>
      </c>
      <c r="B138" s="26">
        <f>IF(ISERROR(F138/G138)," ",F138/G138)</f>
        <v/>
      </c>
      <c r="C138" s="26" t="n">
        <v>118</v>
      </c>
      <c r="D138" s="30" t="inlineStr">
        <is>
          <t>GLOBAL THEMATIC-RMH</t>
        </is>
      </c>
      <c r="E138" s="26" t="inlineStr">
        <is>
          <t>RM</t>
        </is>
      </c>
      <c r="F138" s="26" t="n"/>
      <c r="G138" s="26" t="n"/>
      <c r="H138" s="26" t="inlineStr">
        <is>
          <t>RM</t>
        </is>
      </c>
      <c r="I138" s="26" t="n"/>
      <c r="J138" s="26" t="inlineStr">
        <is>
          <t>RM</t>
        </is>
      </c>
      <c r="K138" s="26">
        <f>IF(OR(G138="",I138=""),"",G138*I138)</f>
        <v/>
      </c>
      <c r="L138" s="26" t="inlineStr">
        <is>
          <t>RM</t>
        </is>
      </c>
      <c r="M138" s="26">
        <f>IF(ISERROR(K138-F138)," ",K138-F138)</f>
        <v/>
      </c>
      <c r="N138" s="2">
        <f>IF(ISERROR(M138/F138),"",IF(M138/F138=-1,"-",M138/F138))</f>
        <v/>
      </c>
      <c r="O138" s="26" t="inlineStr">
        <is>
          <t>RM</t>
        </is>
      </c>
      <c r="P138" s="23" t="n"/>
      <c r="Q138" s="26" t="inlineStr">
        <is>
          <t>Oct</t>
        </is>
      </c>
    </row>
    <row r="139" hidden="1" outlineLevel="1" ht="14.75" customHeight="1">
      <c r="A139" s="26" t="inlineStr">
        <is>
          <t>RM</t>
        </is>
      </c>
      <c r="B139" s="26">
        <f>IF(ISERROR(F139/G139)," ",F139/G139)</f>
        <v/>
      </c>
      <c r="C139" s="26" t="n">
        <v>119</v>
      </c>
      <c r="D139" s="30" t="inlineStr">
        <is>
          <t xml:space="preserve"> Global Thematic Fund A (USD) Class</t>
        </is>
      </c>
      <c r="E139" s="26" t="inlineStr">
        <is>
          <t>RM</t>
        </is>
      </c>
      <c r="F139" s="26" t="n"/>
      <c r="G139" s="26" t="n"/>
      <c r="H139" s="26" t="inlineStr">
        <is>
          <t>RM</t>
        </is>
      </c>
      <c r="I139" s="26" t="n"/>
      <c r="J139" s="26" t="inlineStr">
        <is>
          <t>RM</t>
        </is>
      </c>
      <c r="K139" s="26">
        <f>IF(OR(G139="",I139=""),"",G139*I139)</f>
        <v/>
      </c>
      <c r="L139" s="26" t="inlineStr">
        <is>
          <t>RM</t>
        </is>
      </c>
      <c r="M139" s="26">
        <f>IF(ISERROR(K139-F139)," ",K139-F139)</f>
        <v/>
      </c>
      <c r="N139" s="2">
        <f>IF(ISERROR(M139/F139),"",IF(M139/F139=-1,"-",M139/F139))</f>
        <v/>
      </c>
      <c r="O139" s="26" t="inlineStr">
        <is>
          <t>RM</t>
        </is>
      </c>
      <c r="P139" s="23" t="n"/>
      <c r="Q139" s="26" t="n"/>
    </row>
    <row r="140" collapsed="1">
      <c r="A140" s="26" t="inlineStr">
        <is>
          <t>RM</t>
        </is>
      </c>
      <c r="B140" s="26">
        <f>IF(ISERROR(F140/G140)," ",F140/G140)</f>
        <v/>
      </c>
      <c r="C140" s="26" t="n">
        <v>124</v>
      </c>
      <c r="D140" s="30" t="inlineStr">
        <is>
          <t>SHARIAH CHINA EQ-RM</t>
        </is>
      </c>
      <c r="E140" s="26" t="inlineStr">
        <is>
          <t>RM</t>
        </is>
      </c>
      <c r="F140" s="26" t="n"/>
      <c r="G140" s="26" t="n"/>
      <c r="H140" s="26" t="inlineStr">
        <is>
          <t>RM</t>
        </is>
      </c>
      <c r="I140" s="26" t="n"/>
      <c r="J140" s="26" t="inlineStr">
        <is>
          <t>RM</t>
        </is>
      </c>
      <c r="K140" s="26">
        <f>IF(OR(G140="",I140=""),"",G140*I140)</f>
        <v/>
      </c>
      <c r="L140" s="26" t="inlineStr">
        <is>
          <t>RM</t>
        </is>
      </c>
      <c r="M140" s="26">
        <f>IF(ISERROR(K140-F140)," ",K140-F140)</f>
        <v/>
      </c>
      <c r="N140" s="2">
        <f>IF(ISERROR(M140/F140),"",IF(M140/F140=-1,"-",M140/F140))</f>
        <v/>
      </c>
      <c r="O140" s="26" t="inlineStr">
        <is>
          <t>RM</t>
        </is>
      </c>
      <c r="P140" s="23" t="n"/>
      <c r="Q140" s="26" t="inlineStr">
        <is>
          <t>Aug</t>
        </is>
      </c>
    </row>
    <row r="141" hidden="1" outlineLevel="1" ht="14.75" customHeight="1">
      <c r="A141" s="26" t="inlineStr">
        <is>
          <t>RM</t>
        </is>
      </c>
      <c r="B141" s="26">
        <f>IF(ISERROR(F141/G141)," ",F141/G141)</f>
        <v/>
      </c>
      <c r="C141" s="26" t="n">
        <v>125</v>
      </c>
      <c r="D141" s="30" t="inlineStr">
        <is>
          <t xml:space="preserve"> Shariah China Equity Fund - A (USD) Class</t>
        </is>
      </c>
      <c r="E141" s="26" t="inlineStr">
        <is>
          <t>RM</t>
        </is>
      </c>
      <c r="F141" s="26" t="n"/>
      <c r="G141" s="26" t="n"/>
      <c r="H141" s="26" t="inlineStr">
        <is>
          <t>RM</t>
        </is>
      </c>
      <c r="I141" s="26" t="n"/>
      <c r="J141" s="26" t="inlineStr">
        <is>
          <t>RM</t>
        </is>
      </c>
      <c r="K141" s="26">
        <f>IF(OR(G141="",I141=""),"",G141*I141)</f>
        <v/>
      </c>
      <c r="L141" s="26" t="inlineStr">
        <is>
          <t>RM</t>
        </is>
      </c>
      <c r="M141" s="26">
        <f>IF(ISERROR(K141-F141)," ",K141-F141)</f>
        <v/>
      </c>
      <c r="N141" s="2">
        <f>IF(ISERROR(M141/F141),"",IF(M141/F141=-1,"-",M141/F141))</f>
        <v/>
      </c>
      <c r="O141" s="26" t="inlineStr">
        <is>
          <t>RM</t>
        </is>
      </c>
      <c r="P141" s="23" t="n"/>
      <c r="Q141" s="26" t="n"/>
    </row>
    <row r="142" collapsed="1">
      <c r="A142" s="26" t="inlineStr">
        <is>
          <t>RM</t>
        </is>
      </c>
      <c r="B142" s="26">
        <f>IF(ISERROR(F142/G142)," ",F142/G142)</f>
        <v/>
      </c>
      <c r="C142" s="26" t="n">
        <v>126</v>
      </c>
      <c r="D142" s="30" t="inlineStr">
        <is>
          <t>GLOBAL AQUA-RMH</t>
        </is>
      </c>
      <c r="E142" s="26" t="inlineStr">
        <is>
          <t>RM</t>
        </is>
      </c>
      <c r="F142" s="26" t="n"/>
      <c r="G142" s="26" t="n"/>
      <c r="H142" s="26" t="inlineStr">
        <is>
          <t>RM</t>
        </is>
      </c>
      <c r="I142" s="26" t="n"/>
      <c r="J142" s="26" t="inlineStr">
        <is>
          <t>RM</t>
        </is>
      </c>
      <c r="K142" s="26">
        <f>IF(OR(G142="",I142=""),"",G142*I142)</f>
        <v/>
      </c>
      <c r="L142" s="26" t="inlineStr">
        <is>
          <t>RM</t>
        </is>
      </c>
      <c r="M142" s="26">
        <f>IF(ISERROR(K142-F142)," ",K142-F142)</f>
        <v/>
      </c>
      <c r="N142" s="2">
        <f>IF(ISERROR(M142/F142),"",IF(M142/F142=-1,"-",M142/F142))</f>
        <v/>
      </c>
      <c r="O142" s="26" t="inlineStr">
        <is>
          <t>RM</t>
        </is>
      </c>
      <c r="P142" s="23" t="n"/>
      <c r="Q142" s="26" t="inlineStr">
        <is>
          <t>Feb</t>
        </is>
      </c>
    </row>
    <row r="143" hidden="1" outlineLevel="1" ht="14.75" customHeight="1">
      <c r="A143" s="26" t="inlineStr">
        <is>
          <t>RM</t>
        </is>
      </c>
      <c r="B143" s="26">
        <f>IF(ISERROR(F143/G143)," ",F143/G143)</f>
        <v/>
      </c>
      <c r="C143" s="26" t="n">
        <v>127</v>
      </c>
      <c r="D143" s="30" t="inlineStr">
        <is>
          <t xml:space="preserve"> Global Aqua Fund - A (AUD-Hedged) Class</t>
        </is>
      </c>
      <c r="E143" s="26" t="inlineStr">
        <is>
          <t>RM</t>
        </is>
      </c>
      <c r="F143" s="26" t="n"/>
      <c r="G143" s="26" t="n"/>
      <c r="H143" s="26" t="inlineStr">
        <is>
          <t>RM</t>
        </is>
      </c>
      <c r="I143" s="26" t="n"/>
      <c r="J143" s="26" t="inlineStr">
        <is>
          <t>RM</t>
        </is>
      </c>
      <c r="K143" s="26">
        <f>IF(OR(G143="",I143=""),"",G143*I143)</f>
        <v/>
      </c>
      <c r="L143" s="26" t="inlineStr">
        <is>
          <t>RM</t>
        </is>
      </c>
      <c r="M143" s="26">
        <f>IF(ISERROR(K143-F143)," ",K143-F143)</f>
        <v/>
      </c>
      <c r="N143" s="2">
        <f>IF(ISERROR(M143/F143),"",IF(M143/F143=-1,"-",M143/F143))</f>
        <v/>
      </c>
      <c r="O143" s="26" t="inlineStr">
        <is>
          <t>RM</t>
        </is>
      </c>
      <c r="P143" s="23" t="n"/>
      <c r="Q143" s="26" t="n"/>
    </row>
    <row r="144" hidden="1" outlineLevel="1" ht="14.75" customHeight="1">
      <c r="A144" s="26" t="inlineStr">
        <is>
          <t>RM</t>
        </is>
      </c>
      <c r="B144" s="26">
        <f>IF(ISERROR(F144/G144)," ",F144/G144)</f>
        <v/>
      </c>
      <c r="C144" s="26" t="n">
        <v>128</v>
      </c>
      <c r="D144" s="30" t="inlineStr">
        <is>
          <t xml:space="preserve"> Global Aqua Fund - A (SGD-Hedged) Class</t>
        </is>
      </c>
      <c r="E144" s="26" t="inlineStr">
        <is>
          <t>RM</t>
        </is>
      </c>
      <c r="F144" s="26" t="n"/>
      <c r="G144" s="26" t="n"/>
      <c r="H144" s="26" t="inlineStr">
        <is>
          <t>RM</t>
        </is>
      </c>
      <c r="I144" s="26" t="n"/>
      <c r="J144" s="26" t="inlineStr">
        <is>
          <t>RM</t>
        </is>
      </c>
      <c r="K144" s="26">
        <f>IF(OR(G144="",I144=""),"",G144*I144)</f>
        <v/>
      </c>
      <c r="L144" s="26" t="inlineStr">
        <is>
          <t>RM</t>
        </is>
      </c>
      <c r="M144" s="26">
        <f>IF(ISERROR(K144-F144)," ",K144-F144)</f>
        <v/>
      </c>
      <c r="N144" s="2">
        <f>IF(ISERROR(M144/F144),"",IF(M144/F144=-1,"-",M144/F144))</f>
        <v/>
      </c>
      <c r="O144" s="26" t="inlineStr">
        <is>
          <t>RM</t>
        </is>
      </c>
      <c r="P144" s="23" t="n"/>
      <c r="Q144" s="26" t="n"/>
    </row>
    <row r="145" hidden="1" outlineLevel="1" ht="14.75" customHeight="1">
      <c r="A145" s="26" t="inlineStr">
        <is>
          <t>RM</t>
        </is>
      </c>
      <c r="B145" s="26">
        <f>IF(ISERROR(F145/G145)," ",F145/G145)</f>
        <v/>
      </c>
      <c r="C145" s="26" t="n">
        <v>129</v>
      </c>
      <c r="D145" s="30" t="inlineStr">
        <is>
          <t xml:space="preserve"> Global Aqua Fund - A (USD-Hedged) Class</t>
        </is>
      </c>
      <c r="E145" s="26" t="inlineStr">
        <is>
          <t>RM</t>
        </is>
      </c>
      <c r="F145" s="26" t="n"/>
      <c r="G145" s="26" t="n"/>
      <c r="H145" s="26" t="inlineStr">
        <is>
          <t>RM</t>
        </is>
      </c>
      <c r="I145" s="26" t="n"/>
      <c r="J145" s="26" t="inlineStr">
        <is>
          <t>RM</t>
        </is>
      </c>
      <c r="K145" s="26">
        <f>IF(OR(G145="",I145=""),"",G145*I145)</f>
        <v/>
      </c>
      <c r="L145" s="26" t="inlineStr">
        <is>
          <t>RM</t>
        </is>
      </c>
      <c r="M145" s="26">
        <f>IF(ISERROR(K145-F145)," ",K145-F145)</f>
        <v/>
      </c>
      <c r="N145" s="2">
        <f>IF(ISERROR(M145/F145),"",IF(M145/F145=-1,"-",M145/F145))</f>
        <v/>
      </c>
      <c r="O145" s="26" t="inlineStr">
        <is>
          <t>RM</t>
        </is>
      </c>
      <c r="P145" s="23" t="n"/>
      <c r="Q145" s="26" t="n"/>
    </row>
    <row r="146" collapsed="1">
      <c r="A146" s="26" t="inlineStr">
        <is>
          <t>RM</t>
        </is>
      </c>
      <c r="B146" s="26">
        <f>IF(ISERROR(F146/G146)," ",F146/G146)</f>
        <v/>
      </c>
      <c r="C146" s="26" t="n">
        <v>130</v>
      </c>
      <c r="D146" s="30" t="inlineStr">
        <is>
          <t>SHARIAH INDIA EQRM</t>
        </is>
      </c>
      <c r="E146" s="26" t="inlineStr">
        <is>
          <t>RM</t>
        </is>
      </c>
      <c r="F146" s="26" t="n"/>
      <c r="G146" s="26" t="n"/>
      <c r="H146" s="26" t="inlineStr">
        <is>
          <t>RM</t>
        </is>
      </c>
      <c r="I146" s="26" t="n"/>
      <c r="J146" s="26" t="inlineStr">
        <is>
          <t>RM</t>
        </is>
      </c>
      <c r="K146" s="26">
        <f>IF(OR(G146="",I146=""),"",G146*I146)</f>
        <v/>
      </c>
      <c r="L146" s="26" t="inlineStr">
        <is>
          <t>RM</t>
        </is>
      </c>
      <c r="M146" s="26">
        <f>IF(ISERROR(K146-F146)," ",K146-F146)</f>
        <v/>
      </c>
      <c r="N146" s="2">
        <f>IF(ISERROR(M146/F146),"",IF(M146/F146=-1,"-",M146/F146))</f>
        <v/>
      </c>
      <c r="O146" s="26" t="inlineStr">
        <is>
          <t>RM</t>
        </is>
      </c>
      <c r="P146" s="23" t="n"/>
      <c r="Q146" s="26" t="inlineStr">
        <is>
          <t>Aug</t>
        </is>
      </c>
    </row>
    <row r="147" hidden="1" outlineLevel="1" ht="14.75" customHeight="1">
      <c r="A147" s="26" t="inlineStr">
        <is>
          <t>RM</t>
        </is>
      </c>
      <c r="B147" s="26">
        <f>IF(ISERROR(F147/G147)," ",F147/G147)</f>
        <v/>
      </c>
      <c r="C147" s="26" t="n">
        <v>131</v>
      </c>
      <c r="D147" s="30" t="inlineStr">
        <is>
          <t xml:space="preserve"> Shariah India Equity Fund - A (USD) Class</t>
        </is>
      </c>
      <c r="E147" s="26" t="inlineStr">
        <is>
          <t>RM</t>
        </is>
      </c>
      <c r="F147" s="26" t="n"/>
      <c r="G147" s="26" t="n"/>
      <c r="H147" s="26" t="inlineStr">
        <is>
          <t>RM</t>
        </is>
      </c>
      <c r="I147" s="26" t="n"/>
      <c r="J147" s="26" t="inlineStr">
        <is>
          <t>RM</t>
        </is>
      </c>
      <c r="K147" s="26">
        <f>IF(OR(G147="",I147=""),"",G147*I147)</f>
        <v/>
      </c>
      <c r="L147" s="26" t="inlineStr">
        <is>
          <t>RM</t>
        </is>
      </c>
      <c r="M147" s="26">
        <f>IF(ISERROR(K147-F147)," ",K147-F147)</f>
        <v/>
      </c>
      <c r="N147" s="2">
        <f>IF(ISERROR(M147/F147),"",IF(M147/F147=-1,"-",M147/F147))</f>
        <v/>
      </c>
      <c r="O147" s="26" t="inlineStr">
        <is>
          <t>RM</t>
        </is>
      </c>
      <c r="P147" s="23" t="n"/>
      <c r="Q147" s="26" t="n"/>
    </row>
    <row r="148" collapsed="1">
      <c r="A148" s="26" t="inlineStr">
        <is>
          <t>RM</t>
        </is>
      </c>
      <c r="B148" s="26">
        <f>IF(ISERROR(F148/G148)," ",F148/G148)</f>
        <v/>
      </c>
      <c r="C148" s="26" t="n">
        <v>132</v>
      </c>
      <c r="D148" s="30" t="inlineStr">
        <is>
          <t>ASIA PACIFIC OPP-RMH</t>
        </is>
      </c>
      <c r="E148" s="26" t="inlineStr">
        <is>
          <t>RM</t>
        </is>
      </c>
      <c r="F148" s="26" t="n"/>
      <c r="G148" s="26" t="n"/>
      <c r="H148" s="26" t="inlineStr">
        <is>
          <t>RM</t>
        </is>
      </c>
      <c r="I148" s="26" t="n"/>
      <c r="J148" s="26" t="inlineStr">
        <is>
          <t>RM</t>
        </is>
      </c>
      <c r="K148" s="26">
        <f>IF(OR(G148="",I148=""),"",G148*I148)</f>
        <v/>
      </c>
      <c r="L148" s="26" t="inlineStr">
        <is>
          <t>RM</t>
        </is>
      </c>
      <c r="M148" s="26">
        <f>IF(ISERROR(K148-F148)," ",K148-F148)</f>
        <v/>
      </c>
      <c r="N148" s="2">
        <f>IF(ISERROR(M148/F148),"",IF(M148/F148=-1,"-",M148/F148))</f>
        <v/>
      </c>
      <c r="O148" s="26" t="inlineStr">
        <is>
          <t>RM</t>
        </is>
      </c>
      <c r="P148" s="23" t="n"/>
      <c r="Q148" s="26" t="inlineStr">
        <is>
          <t>Oct</t>
        </is>
      </c>
    </row>
    <row r="149" hidden="1" outlineLevel="1" ht="14.75" customHeight="1">
      <c r="A149" s="26" t="inlineStr">
        <is>
          <t>RM</t>
        </is>
      </c>
      <c r="B149" s="26">
        <f>IF(ISERROR(F149/G149)," ",F149/G149)</f>
        <v/>
      </c>
      <c r="C149" s="26" t="n">
        <v>133</v>
      </c>
      <c r="D149" s="30" t="inlineStr">
        <is>
          <t xml:space="preserve"> Asia Pacific Opportunities Fund - A (AUD-Hedged) Class</t>
        </is>
      </c>
      <c r="E149" s="26" t="inlineStr">
        <is>
          <t>RM</t>
        </is>
      </c>
      <c r="F149" s="26" t="n"/>
      <c r="G149" s="26" t="n"/>
      <c r="H149" s="26" t="inlineStr">
        <is>
          <t>RM</t>
        </is>
      </c>
      <c r="I149" s="26" t="n"/>
      <c r="J149" s="26" t="inlineStr">
        <is>
          <t>RM</t>
        </is>
      </c>
      <c r="K149" s="26">
        <f>IF(OR(G149="",I149=""),"",G149*I149)</f>
        <v/>
      </c>
      <c r="L149" s="26" t="inlineStr">
        <is>
          <t>RM</t>
        </is>
      </c>
      <c r="M149" s="26">
        <f>IF(ISERROR(K149-F149)," ",K149-F149)</f>
        <v/>
      </c>
      <c r="N149" s="2">
        <f>IF(ISERROR(M149/F149),"",IF(M149/F149=-1,"-",M149/F149))</f>
        <v/>
      </c>
      <c r="O149" s="26" t="inlineStr">
        <is>
          <t>RM</t>
        </is>
      </c>
      <c r="P149" s="23" t="n"/>
      <c r="Q149" s="26" t="n"/>
    </row>
    <row r="150" hidden="1" outlineLevel="1" ht="14.75" customHeight="1">
      <c r="A150" s="26" t="inlineStr">
        <is>
          <t>RM</t>
        </is>
      </c>
      <c r="B150" s="26">
        <f>IF(ISERROR(F150/G150)," ",F150/G150)</f>
        <v/>
      </c>
      <c r="C150" s="26" t="n">
        <v>134</v>
      </c>
      <c r="D150" s="30" t="inlineStr">
        <is>
          <t xml:space="preserve"> Asia Pacific Opportunities Fund - A (SGD-Hedged) Class</t>
        </is>
      </c>
      <c r="E150" s="26" t="inlineStr">
        <is>
          <t>RM</t>
        </is>
      </c>
      <c r="F150" s="26" t="n"/>
      <c r="G150" s="26" t="n"/>
      <c r="H150" s="26" t="inlineStr">
        <is>
          <t>RM</t>
        </is>
      </c>
      <c r="I150" s="26" t="n"/>
      <c r="J150" s="26" t="inlineStr">
        <is>
          <t>RM</t>
        </is>
      </c>
      <c r="K150" s="26">
        <f>IF(OR(G150="",I150=""),"",G150*I150)</f>
        <v/>
      </c>
      <c r="L150" s="26" t="inlineStr">
        <is>
          <t>RM</t>
        </is>
      </c>
      <c r="M150" s="26">
        <f>IF(ISERROR(K150-F150)," ",K150-F150)</f>
        <v/>
      </c>
      <c r="N150" s="2">
        <f>IF(ISERROR(M150/F150),"",IF(M150/F150=-1,"-",M150/F150))</f>
        <v/>
      </c>
      <c r="O150" s="26" t="inlineStr">
        <is>
          <t>RM</t>
        </is>
      </c>
      <c r="P150" s="23" t="n"/>
      <c r="Q150" s="26" t="n"/>
    </row>
    <row r="151" hidden="1" outlineLevel="1" ht="14.75" customHeight="1">
      <c r="A151" s="26" t="inlineStr">
        <is>
          <t>RM</t>
        </is>
      </c>
      <c r="B151" s="26">
        <f>IF(ISERROR(F151/G151)," ",F151/G151)</f>
        <v/>
      </c>
      <c r="C151" s="26" t="n">
        <v>135</v>
      </c>
      <c r="D151" s="30" t="inlineStr">
        <is>
          <t xml:space="preserve"> Asia Pacific Opportunities Fund - A (USD) Class</t>
        </is>
      </c>
      <c r="E151" s="26" t="inlineStr">
        <is>
          <t>RM</t>
        </is>
      </c>
      <c r="F151" s="26" t="n"/>
      <c r="G151" s="26" t="n"/>
      <c r="H151" s="26" t="inlineStr">
        <is>
          <t>RM</t>
        </is>
      </c>
      <c r="I151" s="26" t="n"/>
      <c r="J151" s="26" t="inlineStr">
        <is>
          <t>RM</t>
        </is>
      </c>
      <c r="K151" s="26">
        <f>IF(OR(G151="",I151=""),"",G151*I151)</f>
        <v/>
      </c>
      <c r="L151" s="26" t="inlineStr">
        <is>
          <t>RM</t>
        </is>
      </c>
      <c r="M151" s="26">
        <f>IF(ISERROR(K151-F151)," ",K151-F151)</f>
        <v/>
      </c>
      <c r="N151" s="2">
        <f>IF(ISERROR(M151/F151),"",IF(M151/F151=-1,"-",M151/F151))</f>
        <v/>
      </c>
      <c r="O151" s="26" t="inlineStr">
        <is>
          <t>RM</t>
        </is>
      </c>
      <c r="P151" s="23" t="n"/>
      <c r="Q151" s="26" t="n"/>
    </row>
    <row r="152" hidden="1" outlineLevel="1" ht="14.75" customHeight="1">
      <c r="A152" s="26" t="inlineStr">
        <is>
          <t>RM</t>
        </is>
      </c>
      <c r="B152" s="26">
        <f>IF(ISERROR(F152/G152)," ",F152/G152)</f>
        <v/>
      </c>
      <c r="C152" s="26" t="n">
        <v>136</v>
      </c>
      <c r="D152" s="30" t="inlineStr">
        <is>
          <t xml:space="preserve"> Investment Money Market Fund - Class I</t>
        </is>
      </c>
      <c r="E152" s="26" t="inlineStr">
        <is>
          <t>RM</t>
        </is>
      </c>
      <c r="F152" s="26" t="n"/>
      <c r="G152" s="26" t="n"/>
      <c r="H152" s="26" t="inlineStr">
        <is>
          <t>RM</t>
        </is>
      </c>
      <c r="I152" s="26" t="n"/>
      <c r="J152" s="26" t="inlineStr">
        <is>
          <t>RM</t>
        </is>
      </c>
      <c r="K152" s="26">
        <f>IF(OR(G152="",I152=""),"",G152*I152)</f>
        <v/>
      </c>
      <c r="L152" s="26" t="inlineStr">
        <is>
          <t>RM</t>
        </is>
      </c>
      <c r="M152" s="26">
        <f>IF(ISERROR(K152-F152)," ",K152-F152)</f>
        <v/>
      </c>
      <c r="N152" s="2">
        <f>IF(ISERROR(M152/F152),"",IF(M152/F152=-1,"-",M152/F152))</f>
        <v/>
      </c>
      <c r="O152" s="26" t="inlineStr">
        <is>
          <t>RM</t>
        </is>
      </c>
      <c r="P152" s="23" t="n"/>
      <c r="Q152" s="26" t="inlineStr">
        <is>
          <t>Nov</t>
        </is>
      </c>
    </row>
    <row r="153" hidden="1" outlineLevel="1" ht="14.75" customHeight="1">
      <c r="A153" s="26" t="inlineStr">
        <is>
          <t>RM</t>
        </is>
      </c>
      <c r="B153" s="26">
        <f>IF(ISERROR(F153/G153)," ",F153/G153)</f>
        <v/>
      </c>
      <c r="C153" s="26" t="n">
        <v>137</v>
      </c>
      <c r="D153" s="30" t="inlineStr">
        <is>
          <t xml:space="preserve"> Investment Al-Ma'mun - Class I</t>
        </is>
      </c>
      <c r="E153" s="26" t="inlineStr">
        <is>
          <t>RM</t>
        </is>
      </c>
      <c r="F153" s="26" t="n"/>
      <c r="G153" s="26" t="n"/>
      <c r="H153" s="26" t="inlineStr">
        <is>
          <t>RM</t>
        </is>
      </c>
      <c r="I153" s="26" t="n"/>
      <c r="J153" s="26" t="inlineStr">
        <is>
          <t>RM</t>
        </is>
      </c>
      <c r="K153" s="26">
        <f>IF(OR(G153="",I153=""),"",G153*I153)</f>
        <v/>
      </c>
      <c r="L153" s="26" t="inlineStr">
        <is>
          <t>RM</t>
        </is>
      </c>
      <c r="M153" s="26">
        <f>IF(ISERROR(K153-F153)," ",K153-F153)</f>
        <v/>
      </c>
      <c r="N153" s="2">
        <f>IF(ISERROR(M153/F153),"",IF(M153/F153=-1,"-",M153/F153))</f>
        <v/>
      </c>
      <c r="O153" s="26" t="inlineStr">
        <is>
          <t>RM</t>
        </is>
      </c>
      <c r="P153" s="23" t="n"/>
      <c r="Q153" s="26" t="inlineStr">
        <is>
          <t>Dec</t>
        </is>
      </c>
    </row>
    <row r="154" collapsed="1">
      <c r="A154" s="26" t="inlineStr">
        <is>
          <t>RM</t>
        </is>
      </c>
      <c r="B154" s="26">
        <f>IF(ISERROR(F154/G154)," ",F154/G154)</f>
        <v/>
      </c>
      <c r="C154" s="26" t="n">
        <v>138</v>
      </c>
      <c r="D154" s="30" t="inlineStr">
        <is>
          <t>SHARIAH INDONESIA EQ</t>
        </is>
      </c>
      <c r="E154" s="26" t="inlineStr">
        <is>
          <t>RM</t>
        </is>
      </c>
      <c r="F154" s="26" t="n"/>
      <c r="G154" s="26" t="n"/>
      <c r="H154" s="26" t="inlineStr">
        <is>
          <t>RM</t>
        </is>
      </c>
      <c r="I154" s="26" t="n"/>
      <c r="J154" s="26" t="inlineStr">
        <is>
          <t>RM</t>
        </is>
      </c>
      <c r="K154" s="26">
        <f>IF(OR(G154="",I154=""),"",G154*I154)</f>
        <v/>
      </c>
      <c r="L154" s="26" t="inlineStr">
        <is>
          <t>RM</t>
        </is>
      </c>
      <c r="M154" s="26">
        <f>IF(ISERROR(K154-F154)," ",K154-F154)</f>
        <v/>
      </c>
      <c r="N154" s="2">
        <f>IF(ISERROR(M154/F154),"",IF(M154/F154=-1,"-",M154/F154))</f>
        <v/>
      </c>
      <c r="O154" s="26" t="inlineStr">
        <is>
          <t>RM</t>
        </is>
      </c>
      <c r="P154" s="23" t="n"/>
      <c r="Q154" s="26" t="inlineStr">
        <is>
          <t>Mar</t>
        </is>
      </c>
    </row>
    <row r="155" hidden="1" outlineLevel="1" ht="14.75" customHeight="1">
      <c r="A155" s="26" t="inlineStr">
        <is>
          <t>RM</t>
        </is>
      </c>
      <c r="B155" s="26">
        <f>IF(ISERROR(F155/G155)," ",F155/G155)</f>
        <v/>
      </c>
      <c r="C155" s="26" t="n">
        <v>139</v>
      </c>
      <c r="D155" s="30" t="inlineStr">
        <is>
          <t xml:space="preserve"> Global Income Optimiser Fund - A (RM-Hedged) Acc Class</t>
        </is>
      </c>
      <c r="E155" s="26" t="inlineStr">
        <is>
          <t>RM</t>
        </is>
      </c>
      <c r="F155" s="26" t="n"/>
      <c r="G155" s="26" t="n"/>
      <c r="H155" s="26" t="inlineStr">
        <is>
          <t>RM</t>
        </is>
      </c>
      <c r="I155" s="26" t="n"/>
      <c r="J155" s="26" t="inlineStr">
        <is>
          <t>RM</t>
        </is>
      </c>
      <c r="K155" s="26">
        <f>IF(OR(G155="",I155=""),"",G155*I155)</f>
        <v/>
      </c>
      <c r="L155" s="26" t="inlineStr">
        <is>
          <t>RM</t>
        </is>
      </c>
      <c r="M155" s="26">
        <f>IF(ISERROR(K155-F155)," ",K155-F155)</f>
        <v/>
      </c>
      <c r="N155" s="2">
        <f>IF(ISERROR(M155/F155),"",IF(M155/F155=-1,"-",M155/F155))</f>
        <v/>
      </c>
      <c r="O155" s="26" t="inlineStr">
        <is>
          <t>RM</t>
        </is>
      </c>
      <c r="P155" s="23" t="n"/>
      <c r="Q155" s="26" t="n"/>
    </row>
    <row r="156" hidden="1" outlineLevel="1" ht="14.75" customHeight="1">
      <c r="A156" s="26" t="inlineStr">
        <is>
          <t>RM</t>
        </is>
      </c>
      <c r="B156" s="26">
        <f>IF(ISERROR(F156/G156)," ",F156/G156)</f>
        <v/>
      </c>
      <c r="C156" s="26" t="n">
        <v>140</v>
      </c>
      <c r="D156" s="30" t="inlineStr">
        <is>
          <t xml:space="preserve"> Global Income Optimiser Fund - A12 (RM-Hedged) Inc Class</t>
        </is>
      </c>
      <c r="E156" s="26" t="inlineStr">
        <is>
          <t>RM</t>
        </is>
      </c>
      <c r="F156" s="26" t="n"/>
      <c r="G156" s="26" t="n"/>
      <c r="H156" s="26" t="inlineStr">
        <is>
          <t>RM</t>
        </is>
      </c>
      <c r="I156" s="26" t="n"/>
      <c r="J156" s="26" t="inlineStr">
        <is>
          <t>RM</t>
        </is>
      </c>
      <c r="K156" s="26">
        <f>IF(OR(G156="",I156=""),"",G156*I156)</f>
        <v/>
      </c>
      <c r="L156" s="26" t="inlineStr">
        <is>
          <t>RM</t>
        </is>
      </c>
      <c r="M156" s="26">
        <f>IF(ISERROR(K156-F156)," ",K156-F156)</f>
        <v/>
      </c>
      <c r="N156" s="26">
        <f>IF(ISERROR(M156/F156),"",IF(M156/F156=-1,"-",M156/F156))</f>
        <v/>
      </c>
      <c r="O156" s="26" t="inlineStr">
        <is>
          <t>RM</t>
        </is>
      </c>
      <c r="P156" s="23" t="n"/>
      <c r="Q156" s="26" t="inlineStr">
        <is>
          <t>Mar</t>
        </is>
      </c>
    </row>
    <row r="157" hidden="1" outlineLevel="1" ht="14.75" customHeight="1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26" t="inlineStr">
        <is>
          <t>RM</t>
        </is>
      </c>
      <c r="P157" s="23" t="n"/>
      <c r="Q157" s="26" t="inlineStr">
        <is>
          <t>Apr</t>
        </is>
      </c>
    </row>
    <row r="158" hidden="1" outlineLevel="1" ht="14.75" customHeight="1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26" t="inlineStr">
        <is>
          <t>RM</t>
        </is>
      </c>
      <c r="P158" s="23" t="n"/>
      <c r="Q158" s="26" t="inlineStr">
        <is>
          <t>May</t>
        </is>
      </c>
    </row>
    <row r="159" hidden="1" outlineLevel="1" ht="14.75" customHeight="1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26" t="inlineStr">
        <is>
          <t>RM</t>
        </is>
      </c>
      <c r="P159" s="23" t="n"/>
      <c r="Q159" s="26" t="inlineStr">
        <is>
          <t>Jun</t>
        </is>
      </c>
    </row>
    <row r="160" hidden="1" outlineLevel="1" ht="14.75" customHeight="1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26" t="inlineStr">
        <is>
          <t>RM</t>
        </is>
      </c>
      <c r="P160" s="23" t="n"/>
      <c r="Q160" s="26" t="inlineStr">
        <is>
          <t>Jul</t>
        </is>
      </c>
    </row>
    <row r="161" hidden="1" outlineLevel="1" ht="14.75" customHeight="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26" t="inlineStr">
        <is>
          <t>RM</t>
        </is>
      </c>
      <c r="P161" s="23" t="n"/>
      <c r="Q161" s="26" t="inlineStr">
        <is>
          <t>Aug</t>
        </is>
      </c>
    </row>
    <row r="162" hidden="1" outlineLevel="1" ht="14.75" customHeight="1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26" t="inlineStr">
        <is>
          <t>RM</t>
        </is>
      </c>
      <c r="P162" s="23" t="n"/>
      <c r="Q162" s="26" t="inlineStr">
        <is>
          <t>Sep</t>
        </is>
      </c>
    </row>
    <row r="163" hidden="1" outlineLevel="1" ht="14.75" customHeight="1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26" t="inlineStr">
        <is>
          <t>RM</t>
        </is>
      </c>
      <c r="P163" s="23" t="n"/>
      <c r="Q163" s="26" t="inlineStr">
        <is>
          <t>Oct</t>
        </is>
      </c>
    </row>
    <row r="164" hidden="1" outlineLevel="1" ht="14.75" customHeight="1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26" t="inlineStr">
        <is>
          <t>RM</t>
        </is>
      </c>
      <c r="P164" s="23" t="n"/>
      <c r="Q164" s="26" t="inlineStr">
        <is>
          <t>Nov</t>
        </is>
      </c>
    </row>
    <row r="165" hidden="1" outlineLevel="1" ht="14.75" customHeight="1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26" t="inlineStr">
        <is>
          <t>RM</t>
        </is>
      </c>
      <c r="P165" s="23" t="n"/>
      <c r="Q165" s="26" t="inlineStr">
        <is>
          <t>Dec</t>
        </is>
      </c>
    </row>
    <row r="166" hidden="1" outlineLevel="1" ht="14.75" customHeight="1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26" t="inlineStr">
        <is>
          <t>RM</t>
        </is>
      </c>
      <c r="P166" s="23" t="n"/>
      <c r="Q166" s="26" t="inlineStr">
        <is>
          <t>Jan</t>
        </is>
      </c>
    </row>
    <row r="167" hidden="1" outlineLevel="1" ht="14.75" customHeight="1">
      <c r="A167" s="43" t="n"/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26" t="inlineStr">
        <is>
          <t>RM</t>
        </is>
      </c>
      <c r="P167" s="23" t="n"/>
      <c r="Q167" s="26" t="inlineStr">
        <is>
          <t>Feb</t>
        </is>
      </c>
    </row>
    <row r="168" hidden="1" outlineLevel="1" ht="14.75" customHeight="1">
      <c r="A168" s="26" t="inlineStr">
        <is>
          <t>RM</t>
        </is>
      </c>
      <c r="B168" s="26">
        <f>IF(ISERROR(F168/G168)," ",F168/G168)</f>
        <v/>
      </c>
      <c r="C168" s="26" t="n">
        <v>141</v>
      </c>
      <c r="D168" s="30" t="inlineStr">
        <is>
          <t xml:space="preserve"> Global Income Optimiser Fund - A12 (USD) Inc Class</t>
        </is>
      </c>
      <c r="E168" s="26" t="inlineStr">
        <is>
          <t>RM</t>
        </is>
      </c>
      <c r="F168" s="26" t="n"/>
      <c r="G168" s="26" t="n"/>
      <c r="H168" s="26" t="inlineStr">
        <is>
          <t>RM</t>
        </is>
      </c>
      <c r="I168" s="26" t="n"/>
      <c r="J168" s="26" t="inlineStr">
        <is>
          <t>RM</t>
        </is>
      </c>
      <c r="K168" s="26">
        <f>IF(OR(G168="",I168=""),"",G168*I168)</f>
        <v/>
      </c>
      <c r="L168" s="26" t="inlineStr">
        <is>
          <t>RM</t>
        </is>
      </c>
      <c r="M168" s="26">
        <f>IF(ISERROR(K168-F168)," ",K168-F168)</f>
        <v/>
      </c>
      <c r="N168" s="26">
        <f>IF(ISERROR(M168/F168),"",IF(M168/F168=-1,"-",M168/F168))</f>
        <v/>
      </c>
      <c r="O168" s="26" t="inlineStr">
        <is>
          <t>RM</t>
        </is>
      </c>
      <c r="P168" s="23" t="n"/>
      <c r="Q168" s="26" t="inlineStr">
        <is>
          <t>Mar</t>
        </is>
      </c>
    </row>
    <row r="169" hidden="1" outlineLevel="1" ht="14.75" customHeight="1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26" t="inlineStr">
        <is>
          <t>RM</t>
        </is>
      </c>
      <c r="P169" s="23" t="n"/>
      <c r="Q169" s="26" t="inlineStr">
        <is>
          <t>Apr</t>
        </is>
      </c>
    </row>
    <row r="170" hidden="1" outlineLevel="1" ht="14.75" customHeight="1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26" t="inlineStr">
        <is>
          <t>RM</t>
        </is>
      </c>
      <c r="P170" s="23" t="n"/>
      <c r="Q170" s="26" t="inlineStr">
        <is>
          <t>May</t>
        </is>
      </c>
    </row>
    <row r="171" hidden="1" outlineLevel="1" ht="14.75" customHeight="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26" t="inlineStr">
        <is>
          <t>RM</t>
        </is>
      </c>
      <c r="P171" s="23" t="n"/>
      <c r="Q171" s="26" t="inlineStr">
        <is>
          <t>Jun</t>
        </is>
      </c>
    </row>
    <row r="172" hidden="1" outlineLevel="1" ht="14.75" customHeight="1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26" t="inlineStr">
        <is>
          <t>RM</t>
        </is>
      </c>
      <c r="P172" s="23" t="n"/>
      <c r="Q172" s="26" t="inlineStr">
        <is>
          <t>Jul</t>
        </is>
      </c>
    </row>
    <row r="173" hidden="1" outlineLevel="1" ht="14.75" customHeight="1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26" t="inlineStr">
        <is>
          <t>RM</t>
        </is>
      </c>
      <c r="P173" s="23" t="n"/>
      <c r="Q173" s="26" t="inlineStr">
        <is>
          <t>Aug</t>
        </is>
      </c>
    </row>
    <row r="174" hidden="1" outlineLevel="1" ht="14.75" customHeight="1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26" t="inlineStr">
        <is>
          <t>RM</t>
        </is>
      </c>
      <c r="P174" s="23" t="n"/>
      <c r="Q174" s="26" t="inlineStr">
        <is>
          <t>Sep</t>
        </is>
      </c>
    </row>
    <row r="175" hidden="1" outlineLevel="1" ht="14.75" customHeight="1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26" t="inlineStr">
        <is>
          <t>RM</t>
        </is>
      </c>
      <c r="P175" s="23" t="n"/>
      <c r="Q175" s="26" t="inlineStr">
        <is>
          <t>Oct</t>
        </is>
      </c>
    </row>
    <row r="176" hidden="1" outlineLevel="1" ht="14.75" customHeight="1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26" t="inlineStr">
        <is>
          <t>RM</t>
        </is>
      </c>
      <c r="P176" s="23" t="n"/>
      <c r="Q176" s="26" t="inlineStr">
        <is>
          <t>Nov</t>
        </is>
      </c>
    </row>
    <row r="177" hidden="1" outlineLevel="1" ht="14.75" customHeight="1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26" t="inlineStr">
        <is>
          <t>RM</t>
        </is>
      </c>
      <c r="P177" s="23" t="n"/>
      <c r="Q177" s="26" t="inlineStr">
        <is>
          <t>Dec</t>
        </is>
      </c>
    </row>
    <row r="178" hidden="1" outlineLevel="1" ht="14.75" customHeight="1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26" t="inlineStr">
        <is>
          <t>RM</t>
        </is>
      </c>
      <c r="P178" s="23" t="n"/>
      <c r="Q178" s="26" t="inlineStr">
        <is>
          <t>Jan</t>
        </is>
      </c>
    </row>
    <row r="179" hidden="1" outlineLevel="1" ht="14.75" customHeight="1">
      <c r="A179" s="43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26" t="inlineStr">
        <is>
          <t>RM</t>
        </is>
      </c>
      <c r="P179" s="23" t="n"/>
      <c r="Q179" s="26" t="inlineStr">
        <is>
          <t>Feb</t>
        </is>
      </c>
    </row>
    <row r="180" collapsed="1">
      <c r="A180" s="26" t="inlineStr">
        <is>
          <t>RM</t>
        </is>
      </c>
      <c r="B180" s="26">
        <f>IF(ISERROR(F180/G180)," ",F180/G180)</f>
        <v/>
      </c>
      <c r="C180" s="26" t="n">
        <v>142</v>
      </c>
      <c r="D180" s="30" t="inlineStr">
        <is>
          <t>GI PERSPECTIVE RM-H</t>
        </is>
      </c>
      <c r="E180" s="26" t="inlineStr">
        <is>
          <t>RM</t>
        </is>
      </c>
      <c r="F180" s="26" t="n"/>
      <c r="G180" s="26" t="n"/>
      <c r="H180" s="26" t="inlineStr">
        <is>
          <t>RM</t>
        </is>
      </c>
      <c r="I180" s="26" t="n"/>
      <c r="J180" s="26" t="inlineStr">
        <is>
          <t>RM</t>
        </is>
      </c>
      <c r="K180" s="26">
        <f>IF(OR(G180="",I180=""),"",G180*I180)</f>
        <v/>
      </c>
      <c r="L180" s="26" t="inlineStr">
        <is>
          <t>RM</t>
        </is>
      </c>
      <c r="M180" s="26">
        <f>IF(ISERROR(K180-F180)," ",K180-F180)</f>
        <v/>
      </c>
      <c r="N180" s="2">
        <f>IF(ISERROR(M180/F180),"",IF(M180/F180=-1,"-",M180/F180))</f>
        <v/>
      </c>
      <c r="O180" s="26" t="inlineStr">
        <is>
          <t>RM</t>
        </is>
      </c>
      <c r="P180" s="23" t="n"/>
      <c r="Q180" s="26" t="inlineStr">
        <is>
          <t>Feb</t>
        </is>
      </c>
    </row>
    <row r="181" hidden="1" outlineLevel="1">
      <c r="A181" s="26" t="inlineStr">
        <is>
          <t>RM</t>
        </is>
      </c>
      <c r="B181" s="26">
        <f>IF(ISERROR(F181/G181)," ",F181/G181)</f>
        <v/>
      </c>
      <c r="C181" s="26" t="n">
        <v>143</v>
      </c>
      <c r="D181" s="30" t="inlineStr">
        <is>
          <t xml:space="preserve"> Global Perspective Fund - A(USD) Class</t>
        </is>
      </c>
      <c r="E181" s="26" t="inlineStr">
        <is>
          <t>RM</t>
        </is>
      </c>
      <c r="F181" s="26" t="n"/>
      <c r="G181" s="26" t="n"/>
      <c r="H181" s="26" t="inlineStr">
        <is>
          <t>RM</t>
        </is>
      </c>
      <c r="I181" s="26" t="n"/>
      <c r="J181" s="26" t="inlineStr">
        <is>
          <t>RM</t>
        </is>
      </c>
      <c r="K181" s="26">
        <f>IF(OR(G181="",I181=""),"",G181*I181)</f>
        <v/>
      </c>
      <c r="L181" s="26" t="inlineStr">
        <is>
          <t>RM</t>
        </is>
      </c>
      <c r="M181" s="26">
        <f>IF(ISERROR(K181-F181)," ",K181-F181)</f>
        <v/>
      </c>
      <c r="N181" s="2">
        <f>IF(ISERROR(M181/F181),"",IF(M181/F181=-1,"-",M181/F181))</f>
        <v/>
      </c>
      <c r="O181" s="26" t="inlineStr">
        <is>
          <t>RM</t>
        </is>
      </c>
      <c r="P181" s="23" t="n"/>
      <c r="Q181" s="26" t="n"/>
    </row>
    <row r="182" hidden="1" outlineLevel="1">
      <c r="A182" s="26" t="inlineStr">
        <is>
          <t>RM</t>
        </is>
      </c>
      <c r="B182" s="26">
        <f>IF(ISERROR(F182/G182)," ",F182/G182)</f>
        <v/>
      </c>
      <c r="C182" s="26" t="n">
        <v>144</v>
      </c>
      <c r="D182" s="30" t="inlineStr">
        <is>
          <t xml:space="preserve"> Global Perspective Fund - A(SGD-Hedged) Class</t>
        </is>
      </c>
      <c r="E182" s="26" t="inlineStr">
        <is>
          <t>RM</t>
        </is>
      </c>
      <c r="F182" s="26" t="n"/>
      <c r="G182" s="26" t="n"/>
      <c r="H182" s="26" t="inlineStr">
        <is>
          <t>RM</t>
        </is>
      </c>
      <c r="I182" s="26" t="n"/>
      <c r="J182" s="26" t="inlineStr">
        <is>
          <t>RM</t>
        </is>
      </c>
      <c r="K182" s="26">
        <f>IF(OR(G182="",I182=""),"",G182*I182)</f>
        <v/>
      </c>
      <c r="L182" s="26" t="inlineStr">
        <is>
          <t>RM</t>
        </is>
      </c>
      <c r="M182" s="26">
        <f>IF(ISERROR(K182-F182)," ",K182-F182)</f>
        <v/>
      </c>
      <c r="N182" s="2">
        <f>IF(ISERROR(M182/F182),"",IF(M182/F182=-1,"-",M182/F182))</f>
        <v/>
      </c>
      <c r="O182" s="26" t="inlineStr">
        <is>
          <t>RM</t>
        </is>
      </c>
      <c r="P182" s="23" t="n"/>
      <c r="Q182" s="26" t="n"/>
    </row>
    <row r="183" collapsed="1">
      <c r="A183" s="26" t="inlineStr">
        <is>
          <t>RM</t>
        </is>
      </c>
      <c r="B183" s="26">
        <f>IF(ISERROR(F183/G183)," ",F183/G183)</f>
        <v/>
      </c>
      <c r="C183" s="26" t="n">
        <v>145</v>
      </c>
      <c r="D183" s="31" t="inlineStr">
        <is>
          <t xml:space="preserve"> GLOBAL MULTI-ASSET DIVERSIFIED INCOME FUND -A (RM)(G) CLASS</t>
        </is>
      </c>
      <c r="E183" s="26" t="inlineStr">
        <is>
          <t>RM</t>
        </is>
      </c>
      <c r="F183" s="26" t="n"/>
      <c r="G183" s="26" t="n"/>
      <c r="H183" s="26" t="inlineStr">
        <is>
          <t>RM</t>
        </is>
      </c>
      <c r="I183" s="26" t="n"/>
      <c r="J183" s="26" t="inlineStr">
        <is>
          <t>RM</t>
        </is>
      </c>
      <c r="K183" s="26">
        <f>IF(OR(G183="",I183=""),"",G183*I183)</f>
        <v/>
      </c>
      <c r="L183" s="26" t="inlineStr">
        <is>
          <t>RM</t>
        </is>
      </c>
      <c r="M183" s="26">
        <f>IF(ISERROR(K183-F183)," ",K183-F183)</f>
        <v/>
      </c>
      <c r="N183" s="26">
        <f>IF(ISERROR(M183/F183),"",IF(M183/F183=-1,"-",M183/F183))</f>
        <v/>
      </c>
      <c r="O183" s="26" t="inlineStr">
        <is>
          <t>RM</t>
        </is>
      </c>
      <c r="P183" s="23" t="n"/>
      <c r="Q183" s="26" t="inlineStr">
        <is>
          <t>Jan</t>
        </is>
      </c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26" t="inlineStr">
        <is>
          <t>RM</t>
        </is>
      </c>
      <c r="P184" s="23" t="n"/>
      <c r="Q184" s="26" t="inlineStr">
        <is>
          <t>Feb</t>
        </is>
      </c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26" t="inlineStr">
        <is>
          <t>RM</t>
        </is>
      </c>
      <c r="P185" s="23" t="n"/>
      <c r="Q185" s="26" t="inlineStr">
        <is>
          <t>Mar</t>
        </is>
      </c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26" t="inlineStr">
        <is>
          <t>RM</t>
        </is>
      </c>
      <c r="P186" s="23" t="n"/>
      <c r="Q186" s="26" t="inlineStr">
        <is>
          <t>Apr</t>
        </is>
      </c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26" t="inlineStr">
        <is>
          <t>RM</t>
        </is>
      </c>
      <c r="P187" s="23" t="n"/>
      <c r="Q187" s="26" t="inlineStr">
        <is>
          <t>May</t>
        </is>
      </c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26" t="inlineStr">
        <is>
          <t>RM</t>
        </is>
      </c>
      <c r="P188" s="23" t="n"/>
      <c r="Q188" s="26" t="inlineStr">
        <is>
          <t>Jun</t>
        </is>
      </c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26" t="inlineStr">
        <is>
          <t>RM</t>
        </is>
      </c>
      <c r="P189" s="23" t="n"/>
      <c r="Q189" s="26" t="inlineStr">
        <is>
          <t>Jul</t>
        </is>
      </c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26" t="inlineStr">
        <is>
          <t>RM</t>
        </is>
      </c>
      <c r="P190" s="23" t="n"/>
      <c r="Q190" s="26" t="inlineStr">
        <is>
          <t>Aug</t>
        </is>
      </c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26" t="inlineStr">
        <is>
          <t>RM</t>
        </is>
      </c>
      <c r="P191" s="23" t="n"/>
      <c r="Q191" s="26" t="inlineStr">
        <is>
          <t>Sep</t>
        </is>
      </c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26" t="inlineStr">
        <is>
          <t>RM</t>
        </is>
      </c>
      <c r="P192" s="23" t="n"/>
      <c r="Q192" s="26" t="inlineStr">
        <is>
          <t>Oct</t>
        </is>
      </c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26" t="inlineStr">
        <is>
          <t>RM</t>
        </is>
      </c>
      <c r="P193" s="23" t="n"/>
      <c r="Q193" s="26" t="inlineStr">
        <is>
          <t>Nov</t>
        </is>
      </c>
    </row>
    <row r="194">
      <c r="A194" s="43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26" t="inlineStr">
        <is>
          <t>RM</t>
        </is>
      </c>
      <c r="P194" s="23" t="n"/>
      <c r="Q194" s="26" t="inlineStr">
        <is>
          <t>Dec</t>
        </is>
      </c>
    </row>
    <row r="195" hidden="1" outlineLevel="1">
      <c r="A195" s="26" t="inlineStr">
        <is>
          <t>RM</t>
        </is>
      </c>
      <c r="B195" s="26">
        <f>IF(ISERROR(F195/G195)," ",F195/G195)</f>
        <v/>
      </c>
      <c r="C195" s="26" t="n">
        <v>146</v>
      </c>
      <c r="D195" s="30" t="inlineStr">
        <is>
          <t xml:space="preserve"> Global Income Optimiser Fund - A12 (RM) Inc Class</t>
        </is>
      </c>
      <c r="E195" s="26" t="inlineStr">
        <is>
          <t>RM</t>
        </is>
      </c>
      <c r="F195" s="26" t="n"/>
      <c r="G195" s="26" t="n"/>
      <c r="H195" s="26" t="inlineStr">
        <is>
          <t>RM</t>
        </is>
      </c>
      <c r="I195" s="26" t="n"/>
      <c r="J195" s="26" t="inlineStr">
        <is>
          <t>RM</t>
        </is>
      </c>
      <c r="K195" s="26">
        <f>IF(OR(G195="",I195=""),"",G195*I195)</f>
        <v/>
      </c>
      <c r="L195" s="26" t="inlineStr">
        <is>
          <t>RM</t>
        </is>
      </c>
      <c r="M195" s="26">
        <f>IF(ISERROR(K195-F195)," ",K195-F195)</f>
        <v/>
      </c>
      <c r="N195" s="26">
        <f>IF(ISERROR(M195/F195),"",IF(M195/F195=-1,"-",M195/F195))</f>
        <v/>
      </c>
      <c r="O195" s="26" t="inlineStr">
        <is>
          <t>RM</t>
        </is>
      </c>
      <c r="P195" s="23" t="n"/>
      <c r="Q195" s="26" t="inlineStr">
        <is>
          <t>Mar</t>
        </is>
      </c>
    </row>
    <row r="196" hidden="1" outlineLevel="1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26" t="inlineStr">
        <is>
          <t>RM</t>
        </is>
      </c>
      <c r="P196" s="23" t="n"/>
      <c r="Q196" s="26" t="inlineStr">
        <is>
          <t>Apr</t>
        </is>
      </c>
    </row>
    <row r="197" hidden="1" outlineLevel="1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26" t="inlineStr">
        <is>
          <t>RM</t>
        </is>
      </c>
      <c r="P197" s="23" t="n"/>
      <c r="Q197" s="26" t="inlineStr">
        <is>
          <t>May</t>
        </is>
      </c>
    </row>
    <row r="198" hidden="1" outlineLevel="1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26" t="inlineStr">
        <is>
          <t>RM</t>
        </is>
      </c>
      <c r="P198" s="23" t="n"/>
      <c r="Q198" s="26" t="inlineStr">
        <is>
          <t>Jun</t>
        </is>
      </c>
    </row>
    <row r="199" hidden="1" outlineLevel="1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26" t="inlineStr">
        <is>
          <t>RM</t>
        </is>
      </c>
      <c r="P199" s="23" t="n"/>
      <c r="Q199" s="26" t="inlineStr">
        <is>
          <t>Jul</t>
        </is>
      </c>
    </row>
    <row r="200" hidden="1" outlineLevel="1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26" t="inlineStr">
        <is>
          <t>RM</t>
        </is>
      </c>
      <c r="P200" s="23" t="n"/>
      <c r="Q200" s="26" t="inlineStr">
        <is>
          <t>Aug</t>
        </is>
      </c>
    </row>
    <row r="201" hidden="1" outlineLevel="1">
      <c r="A201" s="44" t="n"/>
      <c r="B201" s="44" t="n"/>
      <c r="C201" s="44" t="n"/>
      <c r="D201" s="44" t="n"/>
      <c r="E201" s="44" t="n"/>
      <c r="F201" s="44" t="n"/>
      <c r="G201" s="44" t="n"/>
      <c r="H201" s="44" t="n"/>
      <c r="I201" s="44" t="n"/>
      <c r="J201" s="44" t="n"/>
      <c r="K201" s="44" t="n"/>
      <c r="L201" s="44" t="n"/>
      <c r="M201" s="44" t="n"/>
      <c r="N201" s="44" t="n"/>
      <c r="O201" s="26" t="inlineStr">
        <is>
          <t>RM</t>
        </is>
      </c>
      <c r="P201" s="23" t="n"/>
      <c r="Q201" s="26" t="inlineStr">
        <is>
          <t>Sep</t>
        </is>
      </c>
    </row>
    <row r="202" hidden="1" outlineLevel="1">
      <c r="A202" s="44" t="n"/>
      <c r="B202" s="44" t="n"/>
      <c r="C202" s="44" t="n"/>
      <c r="D202" s="44" t="n"/>
      <c r="E202" s="44" t="n"/>
      <c r="F202" s="44" t="n"/>
      <c r="G202" s="44" t="n"/>
      <c r="H202" s="44" t="n"/>
      <c r="I202" s="44" t="n"/>
      <c r="J202" s="44" t="n"/>
      <c r="K202" s="44" t="n"/>
      <c r="L202" s="44" t="n"/>
      <c r="M202" s="44" t="n"/>
      <c r="N202" s="44" t="n"/>
      <c r="O202" s="26" t="inlineStr">
        <is>
          <t>RM</t>
        </is>
      </c>
      <c r="P202" s="23" t="n"/>
      <c r="Q202" s="26" t="inlineStr">
        <is>
          <t>Oct</t>
        </is>
      </c>
    </row>
    <row r="203" hidden="1" outlineLevel="1">
      <c r="A203" s="44" t="n"/>
      <c r="B203" s="44" t="n"/>
      <c r="C203" s="44" t="n"/>
      <c r="D203" s="44" t="n"/>
      <c r="E203" s="44" t="n"/>
      <c r="F203" s="44" t="n"/>
      <c r="G203" s="44" t="n"/>
      <c r="H203" s="44" t="n"/>
      <c r="I203" s="44" t="n"/>
      <c r="J203" s="44" t="n"/>
      <c r="K203" s="44" t="n"/>
      <c r="L203" s="44" t="n"/>
      <c r="M203" s="44" t="n"/>
      <c r="N203" s="44" t="n"/>
      <c r="O203" s="26" t="inlineStr">
        <is>
          <t>RM</t>
        </is>
      </c>
      <c r="P203" s="23" t="n"/>
      <c r="Q203" s="26" t="inlineStr">
        <is>
          <t>Nov</t>
        </is>
      </c>
    </row>
    <row r="204" hidden="1" outlineLevel="1">
      <c r="A204" s="44" t="n"/>
      <c r="B204" s="44" t="n"/>
      <c r="C204" s="44" t="n"/>
      <c r="D204" s="44" t="n"/>
      <c r="E204" s="44" t="n"/>
      <c r="F204" s="44" t="n"/>
      <c r="G204" s="44" t="n"/>
      <c r="H204" s="44" t="n"/>
      <c r="I204" s="44" t="n"/>
      <c r="J204" s="44" t="n"/>
      <c r="K204" s="44" t="n"/>
      <c r="L204" s="44" t="n"/>
      <c r="M204" s="44" t="n"/>
      <c r="N204" s="44" t="n"/>
      <c r="O204" s="26" t="inlineStr">
        <is>
          <t>RM</t>
        </is>
      </c>
      <c r="P204" s="23" t="n"/>
      <c r="Q204" s="26" t="inlineStr">
        <is>
          <t>Dec</t>
        </is>
      </c>
    </row>
    <row r="205" hidden="1" outlineLevel="1">
      <c r="A205" s="44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26" t="inlineStr">
        <is>
          <t>RM</t>
        </is>
      </c>
      <c r="P205" s="23" t="n"/>
      <c r="Q205" s="26" t="inlineStr">
        <is>
          <t>Jan</t>
        </is>
      </c>
    </row>
    <row r="206" hidden="1" outlineLevel="1">
      <c r="A206" s="43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26" t="inlineStr">
        <is>
          <t>RM</t>
        </is>
      </c>
      <c r="P206" s="23" t="n"/>
      <c r="Q206" s="26" t="inlineStr">
        <is>
          <t>Feb</t>
        </is>
      </c>
    </row>
    <row r="207" hidden="1" outlineLevel="1">
      <c r="A207" s="26" t="inlineStr">
        <is>
          <t>RM</t>
        </is>
      </c>
      <c r="B207" s="26">
        <f>IF(ISERROR(F207/G207)," ",F207/G207)</f>
        <v/>
      </c>
      <c r="C207" s="26" t="n">
        <v>150</v>
      </c>
      <c r="D207" s="30" t="inlineStr">
        <is>
          <t xml:space="preserve"> Asia Technology Fund - A(USD) Class</t>
        </is>
      </c>
      <c r="E207" s="26" t="inlineStr">
        <is>
          <t>RM</t>
        </is>
      </c>
      <c r="F207" s="26" t="n"/>
      <c r="G207" s="26" t="n"/>
      <c r="H207" s="26" t="inlineStr">
        <is>
          <t>RM</t>
        </is>
      </c>
      <c r="I207" s="26" t="n"/>
      <c r="J207" s="26" t="inlineStr">
        <is>
          <t>RM</t>
        </is>
      </c>
      <c r="K207" s="26">
        <f>IF(OR(G207="",I207=""),"",G207*I207)</f>
        <v/>
      </c>
      <c r="L207" s="26" t="inlineStr">
        <is>
          <t>RM</t>
        </is>
      </c>
      <c r="M207" s="26">
        <f>IF(ISERROR(K207-F207)," ",K207-F207)</f>
        <v/>
      </c>
      <c r="N207" s="2">
        <f>IF(ISERROR(M207/F207),"",IF(M207/F207=-1,"-",M207/F207))</f>
        <v/>
      </c>
      <c r="O207" s="26" t="inlineStr">
        <is>
          <t>RM</t>
        </is>
      </c>
      <c r="P207" s="23" t="n"/>
      <c r="Q207" s="26" t="n"/>
    </row>
    <row r="208" collapsed="1" ht="24.5" customHeight="1">
      <c r="A208" s="26" t="inlineStr">
        <is>
          <t>RM</t>
        </is>
      </c>
      <c r="B208" s="26">
        <f>IF(ISERROR(F208/G208)," ",F208/G208)</f>
        <v/>
      </c>
      <c r="C208" s="26" t="n">
        <v>151</v>
      </c>
      <c r="D208" s="31" t="inlineStr">
        <is>
          <t xml:space="preserve"> ASIA TECHNOLOGY FUND - A(RM) CLASS</t>
        </is>
      </c>
      <c r="E208" s="26" t="inlineStr">
        <is>
          <t>RM</t>
        </is>
      </c>
      <c r="F208" s="26" t="n"/>
      <c r="G208" s="26" t="n"/>
      <c r="H208" s="26" t="inlineStr">
        <is>
          <t>RM</t>
        </is>
      </c>
      <c r="I208" s="26" t="n"/>
      <c r="J208" s="26" t="inlineStr">
        <is>
          <t>RM</t>
        </is>
      </c>
      <c r="K208" s="26">
        <f>IF(OR(G208="",I208=""),"",G208*I208)</f>
        <v/>
      </c>
      <c r="L208" s="26" t="inlineStr">
        <is>
          <t>RM</t>
        </is>
      </c>
      <c r="M208" s="26">
        <f>IF(ISERROR(K208-F208)," ",K208-F208)</f>
        <v/>
      </c>
      <c r="N208" s="2">
        <f>IF(ISERROR(M208/F208),"",IF(M208/F208=-1,"-",M208/F208))</f>
        <v/>
      </c>
      <c r="O208" s="26" t="inlineStr">
        <is>
          <t>RM</t>
        </is>
      </c>
      <c r="P208" s="23" t="n"/>
      <c r="Q208" s="26" t="inlineStr">
        <is>
          <t>Jul</t>
        </is>
      </c>
    </row>
    <row r="209" hidden="1" outlineLevel="1">
      <c r="A209" s="26" t="inlineStr">
        <is>
          <t>RM</t>
        </is>
      </c>
      <c r="B209" s="26">
        <f>IF(ISERROR(F209/G209)," ",F209/G209)</f>
        <v/>
      </c>
      <c r="C209" s="26" t="n">
        <v>152</v>
      </c>
      <c r="D209" s="30" t="inlineStr">
        <is>
          <t xml:space="preserve"> Asia Technology Fund - A(RM-Hedged) Class</t>
        </is>
      </c>
      <c r="E209" s="26" t="inlineStr">
        <is>
          <t>RM</t>
        </is>
      </c>
      <c r="F209" s="26" t="n"/>
      <c r="G209" s="26" t="n"/>
      <c r="H209" s="26" t="inlineStr">
        <is>
          <t>RM</t>
        </is>
      </c>
      <c r="I209" s="26" t="n"/>
      <c r="J209" s="26" t="inlineStr">
        <is>
          <t>RM</t>
        </is>
      </c>
      <c r="K209" s="26">
        <f>IF(OR(G209="",I209=""),"",G209*I209)</f>
        <v/>
      </c>
      <c r="L209" s="26" t="inlineStr">
        <is>
          <t>RM</t>
        </is>
      </c>
      <c r="M209" s="26">
        <f>IF(ISERROR(K209-F209)," ",K209-F209)</f>
        <v/>
      </c>
      <c r="N209" s="2">
        <f>IF(ISERROR(M209/F209),"",IF(M209/F209=-1,"-",M209/F209))</f>
        <v/>
      </c>
      <c r="O209" s="26" t="inlineStr">
        <is>
          <t>RM</t>
        </is>
      </c>
      <c r="P209" s="23" t="n"/>
      <c r="Q209" s="26" t="n"/>
    </row>
    <row r="210" hidden="1" outlineLevel="1" collapsed="1">
      <c r="A210" s="26" t="inlineStr">
        <is>
          <t>RM</t>
        </is>
      </c>
      <c r="B210" s="26">
        <f>IF(ISERROR(F210/G210)," ",F210/G210)</f>
        <v/>
      </c>
      <c r="C210" s="26" t="n">
        <v>153</v>
      </c>
      <c r="D210" s="30" t="inlineStr">
        <is>
          <t xml:space="preserve"> Bond Plus Fund - C12 (RM) Inc Class</t>
        </is>
      </c>
      <c r="E210" s="26" t="inlineStr">
        <is>
          <t>RM</t>
        </is>
      </c>
      <c r="F210" s="26" t="n"/>
      <c r="G210" s="26" t="n"/>
      <c r="H210" s="26" t="inlineStr">
        <is>
          <t>RM</t>
        </is>
      </c>
      <c r="I210" s="26" t="n"/>
      <c r="J210" s="26" t="inlineStr">
        <is>
          <t>RM</t>
        </is>
      </c>
      <c r="K210" s="26">
        <f>IF(OR(G210="",I210=""),"",G210*I210)</f>
        <v/>
      </c>
      <c r="L210" s="26" t="inlineStr">
        <is>
          <t>RM</t>
        </is>
      </c>
      <c r="M210" s="26">
        <f>IF(ISERROR(K210-F210)," ",K210-F210)</f>
        <v/>
      </c>
      <c r="N210" s="26">
        <f>IF(ISERROR(M210/F210),"",IF(M210/F210=-1,"-",M210/F210))</f>
        <v/>
      </c>
      <c r="O210" s="26" t="inlineStr">
        <is>
          <t>RM</t>
        </is>
      </c>
      <c r="P210" s="23" t="n"/>
      <c r="Q210" s="26" t="inlineStr">
        <is>
          <t>Nov</t>
        </is>
      </c>
    </row>
    <row r="211" hidden="1" outlineLevel="1">
      <c r="A211" s="44" t="n"/>
      <c r="B211" s="44" t="n"/>
      <c r="C211" s="44" t="n"/>
      <c r="D211" s="44" t="n"/>
      <c r="E211" s="44" t="n"/>
      <c r="F211" s="44" t="n"/>
      <c r="G211" s="44" t="n"/>
      <c r="H211" s="44" t="n"/>
      <c r="I211" s="44" t="n"/>
      <c r="J211" s="44" t="n"/>
      <c r="K211" s="44" t="n"/>
      <c r="L211" s="44" t="n"/>
      <c r="M211" s="44" t="n"/>
      <c r="N211" s="44" t="n"/>
      <c r="O211" s="26" t="inlineStr">
        <is>
          <t>RM</t>
        </is>
      </c>
      <c r="P211" s="23" t="n"/>
      <c r="Q211" s="26" t="inlineStr">
        <is>
          <t>Dec</t>
        </is>
      </c>
    </row>
    <row r="212" hidden="1" outlineLevel="1">
      <c r="A212" s="44" t="n"/>
      <c r="B212" s="44" t="n"/>
      <c r="C212" s="44" t="n"/>
      <c r="D212" s="44" t="n"/>
      <c r="E212" s="44" t="n"/>
      <c r="F212" s="44" t="n"/>
      <c r="G212" s="44" t="n"/>
      <c r="H212" s="44" t="n"/>
      <c r="I212" s="44" t="n"/>
      <c r="J212" s="44" t="n"/>
      <c r="K212" s="44" t="n"/>
      <c r="L212" s="44" t="n"/>
      <c r="M212" s="44" t="n"/>
      <c r="N212" s="44" t="n"/>
      <c r="O212" s="26" t="inlineStr">
        <is>
          <t>RM</t>
        </is>
      </c>
      <c r="P212" s="23" t="n"/>
      <c r="Q212" s="26" t="inlineStr">
        <is>
          <t>Jan</t>
        </is>
      </c>
    </row>
    <row r="213" hidden="1" outlineLevel="1">
      <c r="A213" s="44" t="n"/>
      <c r="B213" s="44" t="n"/>
      <c r="C213" s="44" t="n"/>
      <c r="D213" s="44" t="n"/>
      <c r="E213" s="44" t="n"/>
      <c r="F213" s="44" t="n"/>
      <c r="G213" s="44" t="n"/>
      <c r="H213" s="44" t="n"/>
      <c r="I213" s="44" t="n"/>
      <c r="J213" s="44" t="n"/>
      <c r="K213" s="44" t="n"/>
      <c r="L213" s="44" t="n"/>
      <c r="M213" s="44" t="n"/>
      <c r="N213" s="44" t="n"/>
      <c r="O213" s="26" t="inlineStr">
        <is>
          <t>RM</t>
        </is>
      </c>
      <c r="P213" s="23" t="n"/>
      <c r="Q213" s="26" t="inlineStr">
        <is>
          <t>Feb</t>
        </is>
      </c>
    </row>
    <row r="214" hidden="1" outlineLevel="1">
      <c r="A214" s="44" t="n"/>
      <c r="B214" s="44" t="n"/>
      <c r="C214" s="44" t="n"/>
      <c r="D214" s="44" t="n"/>
      <c r="E214" s="44" t="n"/>
      <c r="F214" s="44" t="n"/>
      <c r="G214" s="44" t="n"/>
      <c r="H214" s="44" t="n"/>
      <c r="I214" s="44" t="n"/>
      <c r="J214" s="44" t="n"/>
      <c r="K214" s="44" t="n"/>
      <c r="L214" s="44" t="n"/>
      <c r="M214" s="44" t="n"/>
      <c r="N214" s="44" t="n"/>
      <c r="O214" s="26" t="inlineStr">
        <is>
          <t>RM</t>
        </is>
      </c>
      <c r="P214" s="23" t="n"/>
      <c r="Q214" s="26" t="inlineStr">
        <is>
          <t>Mar</t>
        </is>
      </c>
    </row>
    <row r="215" hidden="1" outlineLevel="1">
      <c r="A215" s="44" t="n"/>
      <c r="B215" s="44" t="n"/>
      <c r="C215" s="44" t="n"/>
      <c r="D215" s="44" t="n"/>
      <c r="E215" s="44" t="n"/>
      <c r="F215" s="44" t="n"/>
      <c r="G215" s="44" t="n"/>
      <c r="H215" s="44" t="n"/>
      <c r="I215" s="44" t="n"/>
      <c r="J215" s="44" t="n"/>
      <c r="K215" s="44" t="n"/>
      <c r="L215" s="44" t="n"/>
      <c r="M215" s="44" t="n"/>
      <c r="N215" s="44" t="n"/>
      <c r="O215" s="26" t="inlineStr">
        <is>
          <t>RM</t>
        </is>
      </c>
      <c r="P215" s="23" t="n"/>
      <c r="Q215" s="26" t="inlineStr">
        <is>
          <t>Apr</t>
        </is>
      </c>
    </row>
    <row r="216" hidden="1" outlineLevel="1">
      <c r="A216" s="44" t="n"/>
      <c r="B216" s="44" t="n"/>
      <c r="C216" s="44" t="n"/>
      <c r="D216" s="44" t="n"/>
      <c r="E216" s="44" t="n"/>
      <c r="F216" s="44" t="n"/>
      <c r="G216" s="44" t="n"/>
      <c r="H216" s="44" t="n"/>
      <c r="I216" s="44" t="n"/>
      <c r="J216" s="44" t="n"/>
      <c r="K216" s="44" t="n"/>
      <c r="L216" s="44" t="n"/>
      <c r="M216" s="44" t="n"/>
      <c r="N216" s="44" t="n"/>
      <c r="O216" s="26" t="inlineStr">
        <is>
          <t>RM</t>
        </is>
      </c>
      <c r="P216" s="23" t="n"/>
      <c r="Q216" s="26" t="inlineStr">
        <is>
          <t>May</t>
        </is>
      </c>
    </row>
    <row r="217" hidden="1" outlineLevel="1">
      <c r="A217" s="44" t="n"/>
      <c r="B217" s="44" t="n"/>
      <c r="C217" s="44" t="n"/>
      <c r="D217" s="44" t="n"/>
      <c r="E217" s="44" t="n"/>
      <c r="F217" s="44" t="n"/>
      <c r="G217" s="44" t="n"/>
      <c r="H217" s="44" t="n"/>
      <c r="I217" s="44" t="n"/>
      <c r="J217" s="44" t="n"/>
      <c r="K217" s="44" t="n"/>
      <c r="L217" s="44" t="n"/>
      <c r="M217" s="44" t="n"/>
      <c r="N217" s="44" t="n"/>
      <c r="O217" s="26" t="inlineStr">
        <is>
          <t>RM</t>
        </is>
      </c>
      <c r="P217" s="23" t="n"/>
      <c r="Q217" s="26" t="inlineStr">
        <is>
          <t>Jun</t>
        </is>
      </c>
    </row>
    <row r="218" hidden="1" outlineLevel="1">
      <c r="A218" s="44" t="n"/>
      <c r="B218" s="44" t="n"/>
      <c r="C218" s="44" t="n"/>
      <c r="D218" s="44" t="n"/>
      <c r="E218" s="44" t="n"/>
      <c r="F218" s="44" t="n"/>
      <c r="G218" s="44" t="n"/>
      <c r="H218" s="44" t="n"/>
      <c r="I218" s="44" t="n"/>
      <c r="J218" s="44" t="n"/>
      <c r="K218" s="44" t="n"/>
      <c r="L218" s="44" t="n"/>
      <c r="M218" s="44" t="n"/>
      <c r="N218" s="44" t="n"/>
      <c r="O218" s="26" t="inlineStr">
        <is>
          <t>RM</t>
        </is>
      </c>
      <c r="P218" s="23" t="n"/>
      <c r="Q218" s="26" t="inlineStr">
        <is>
          <t>Jul</t>
        </is>
      </c>
    </row>
    <row r="219" hidden="1" outlineLevel="1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26" t="inlineStr">
        <is>
          <t>RM</t>
        </is>
      </c>
      <c r="P219" s="23" t="n"/>
      <c r="Q219" s="26" t="inlineStr">
        <is>
          <t>Aug</t>
        </is>
      </c>
    </row>
    <row r="220" hidden="1" outlineLevel="1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26" t="inlineStr">
        <is>
          <t>RM</t>
        </is>
      </c>
      <c r="P220" s="23" t="n"/>
      <c r="Q220" s="26" t="inlineStr">
        <is>
          <t>Sep</t>
        </is>
      </c>
    </row>
    <row r="221" hidden="1" outlineLevel="1">
      <c r="A221" s="43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26" t="inlineStr">
        <is>
          <t>RM</t>
        </is>
      </c>
      <c r="P221" s="23" t="n"/>
      <c r="Q221" s="26" t="inlineStr">
        <is>
          <t>Oct</t>
        </is>
      </c>
    </row>
    <row r="222" hidden="1" outlineLevel="1">
      <c r="A222" s="26" t="inlineStr">
        <is>
          <t>RM</t>
        </is>
      </c>
      <c r="B222" s="26">
        <f>IF(ISERROR(F222/G222)," ",F222/G222)</f>
        <v/>
      </c>
      <c r="C222" s="26" t="n">
        <v>154</v>
      </c>
      <c r="D222" s="30" t="inlineStr">
        <is>
          <t xml:space="preserve"> Dragon Growth Fund - A (RM) Class</t>
        </is>
      </c>
      <c r="E222" s="26" t="inlineStr">
        <is>
          <t>RM</t>
        </is>
      </c>
      <c r="F222" s="26" t="n"/>
      <c r="G222" s="26" t="n"/>
      <c r="H222" s="26" t="inlineStr">
        <is>
          <t>RM</t>
        </is>
      </c>
      <c r="I222" s="26" t="n"/>
      <c r="J222" s="26" t="inlineStr">
        <is>
          <t>RM</t>
        </is>
      </c>
      <c r="K222" s="26">
        <f>IF(OR(G222="",I222=""),"",G222*I222)</f>
        <v/>
      </c>
      <c r="L222" s="26" t="inlineStr">
        <is>
          <t>RM</t>
        </is>
      </c>
      <c r="M222" s="26">
        <f>IF(ISERROR(K222-F222)," ",K222-F222)</f>
        <v/>
      </c>
      <c r="N222" s="2">
        <f>IF(ISERROR(M222/F222),"",IF(M222/F222=-1,"-",M222/F222))</f>
        <v/>
      </c>
      <c r="O222" s="26" t="inlineStr">
        <is>
          <t>RM</t>
        </is>
      </c>
      <c r="P222" s="23" t="n"/>
      <c r="Q222" s="26" t="n"/>
    </row>
    <row r="223" hidden="1" outlineLevel="1">
      <c r="A223" s="26" t="inlineStr">
        <is>
          <t>RM</t>
        </is>
      </c>
      <c r="B223" s="26">
        <f>IF(ISERROR(F223/G223)," ",F223/G223)</f>
        <v/>
      </c>
      <c r="C223" s="26" t="n">
        <v>155</v>
      </c>
      <c r="D223" s="30" t="inlineStr">
        <is>
          <t xml:space="preserve"> Asia Total Return Bond Fund - A (RM) Class</t>
        </is>
      </c>
      <c r="E223" s="26" t="inlineStr">
        <is>
          <t>RM</t>
        </is>
      </c>
      <c r="F223" s="26" t="n"/>
      <c r="G223" s="26" t="n"/>
      <c r="H223" s="26" t="inlineStr">
        <is>
          <t>RM</t>
        </is>
      </c>
      <c r="I223" s="26" t="n"/>
      <c r="J223" s="26" t="inlineStr">
        <is>
          <t>RM</t>
        </is>
      </c>
      <c r="K223" s="26">
        <f>IF(OR(G223="",I223=""),"",G223*I223)</f>
        <v/>
      </c>
      <c r="L223" s="26" t="inlineStr">
        <is>
          <t>RM</t>
        </is>
      </c>
      <c r="M223" s="26">
        <f>IF(ISERROR(K223-F223)," ",K223-F223)</f>
        <v/>
      </c>
      <c r="N223" s="2">
        <f>IF(ISERROR(M223/F223),"",IF(M223/F223=-1,"-",M223/F223))</f>
        <v/>
      </c>
      <c r="O223" s="26" t="inlineStr">
        <is>
          <t>RM</t>
        </is>
      </c>
      <c r="P223" s="23" t="n"/>
      <c r="Q223" s="26" t="n"/>
    </row>
    <row r="224" hidden="1" outlineLevel="1">
      <c r="A224" s="26" t="inlineStr">
        <is>
          <t>RM</t>
        </is>
      </c>
      <c r="B224" s="26">
        <f>IF(ISERROR(F224/G224)," ",F224/G224)</f>
        <v/>
      </c>
      <c r="C224" s="26" t="n">
        <v>156</v>
      </c>
      <c r="D224" s="30" t="inlineStr">
        <is>
          <t xml:space="preserve"> Global Low Volatility Equity Fund - A (RM) Class</t>
        </is>
      </c>
      <c r="E224" s="26" t="inlineStr">
        <is>
          <t>RM</t>
        </is>
      </c>
      <c r="F224" s="26" t="n"/>
      <c r="G224" s="26" t="n"/>
      <c r="H224" s="26" t="inlineStr">
        <is>
          <t>RM</t>
        </is>
      </c>
      <c r="I224" s="26" t="n"/>
      <c r="J224" s="26" t="inlineStr">
        <is>
          <t>RM</t>
        </is>
      </c>
      <c r="K224" s="26">
        <f>IF(OR(G224="",I224=""),"",G224*I224)</f>
        <v/>
      </c>
      <c r="L224" s="26" t="inlineStr">
        <is>
          <t>RM</t>
        </is>
      </c>
      <c r="M224" s="26">
        <f>IF(ISERROR(K224-F224)," ",K224-F224)</f>
        <v/>
      </c>
      <c r="N224" s="2">
        <f>IF(ISERROR(M224/F224),"",IF(M224/F224=-1,"-",M224/F224))</f>
        <v/>
      </c>
      <c r="O224" s="26" t="inlineStr">
        <is>
          <t>RM</t>
        </is>
      </c>
      <c r="P224" s="23" t="n"/>
      <c r="Q224" s="26" t="n"/>
    </row>
    <row r="225" hidden="1" outlineLevel="1">
      <c r="A225" s="26" t="inlineStr">
        <is>
          <t>RM</t>
        </is>
      </c>
      <c r="B225" s="26">
        <f>IF(ISERROR(F225/G225)," ",F225/G225)</f>
        <v/>
      </c>
      <c r="C225" s="26" t="n">
        <v>157</v>
      </c>
      <c r="D225" s="30" t="inlineStr">
        <is>
          <t xml:space="preserve"> Preferred Securities Income Fund - A (RM) Class</t>
        </is>
      </c>
      <c r="E225" s="26" t="inlineStr">
        <is>
          <t>RM</t>
        </is>
      </c>
      <c r="F225" s="26" t="n"/>
      <c r="G225" s="26" t="n"/>
      <c r="H225" s="26" t="inlineStr">
        <is>
          <t>RM</t>
        </is>
      </c>
      <c r="I225" s="26" t="n"/>
      <c r="J225" s="26" t="inlineStr">
        <is>
          <t>RM</t>
        </is>
      </c>
      <c r="K225" s="26">
        <f>IF(OR(G225="",I225=""),"",G225*I225)</f>
        <v/>
      </c>
      <c r="L225" s="26" t="inlineStr">
        <is>
          <t>RM</t>
        </is>
      </c>
      <c r="M225" s="26">
        <f>IF(ISERROR(K225-F225)," ",K225-F225)</f>
        <v/>
      </c>
      <c r="N225" s="2">
        <f>IF(ISERROR(M225/F225),"",IF(M225/F225=-1,"-",M225/F225))</f>
        <v/>
      </c>
      <c r="O225" s="26" t="inlineStr">
        <is>
          <t>RM</t>
        </is>
      </c>
      <c r="P225" s="23" t="n"/>
      <c r="Q225" s="26" t="n"/>
    </row>
    <row r="226" hidden="1" outlineLevel="1">
      <c r="A226" s="26" t="inlineStr">
        <is>
          <t>RM</t>
        </is>
      </c>
      <c r="B226" s="26">
        <f>IF(ISERROR(F226/G226)," ",F226/G226)</f>
        <v/>
      </c>
      <c r="C226" s="26" t="n">
        <v>158</v>
      </c>
      <c r="D226" s="30" t="inlineStr">
        <is>
          <t xml:space="preserve"> Global Healthcare Fund- A (RM) Class</t>
        </is>
      </c>
      <c r="E226" s="26" t="inlineStr">
        <is>
          <t>RM</t>
        </is>
      </c>
      <c r="F226" s="26" t="n"/>
      <c r="G226" s="26" t="n"/>
      <c r="H226" s="26" t="inlineStr">
        <is>
          <t>RM</t>
        </is>
      </c>
      <c r="I226" s="26" t="n"/>
      <c r="J226" s="26" t="inlineStr">
        <is>
          <t>RM</t>
        </is>
      </c>
      <c r="K226" s="26">
        <f>IF(OR(G226="",I226=""),"",G226*I226)</f>
        <v/>
      </c>
      <c r="L226" s="26" t="inlineStr">
        <is>
          <t>RM</t>
        </is>
      </c>
      <c r="M226" s="26">
        <f>IF(ISERROR(K226-F226)," ",K226-F226)</f>
        <v/>
      </c>
      <c r="N226" s="2">
        <f>IF(ISERROR(M226/F226),"",IF(M226/F226=-1,"-",M226/F226))</f>
        <v/>
      </c>
      <c r="O226" s="26" t="inlineStr">
        <is>
          <t>RM</t>
        </is>
      </c>
      <c r="P226" s="23" t="n"/>
      <c r="Q226" s="26" t="n"/>
    </row>
    <row r="227" hidden="1" outlineLevel="1">
      <c r="A227" s="26" t="inlineStr">
        <is>
          <t>RM</t>
        </is>
      </c>
      <c r="B227" s="26">
        <f>IF(ISERROR(F227/G227)," ",F227/G227)</f>
        <v/>
      </c>
      <c r="C227" s="26" t="n">
        <v>159</v>
      </c>
      <c r="D227" s="30" t="inlineStr">
        <is>
          <t xml:space="preserve"> Global Thematic Fund - A (RM) Class</t>
        </is>
      </c>
      <c r="E227" s="26" t="inlineStr">
        <is>
          <t>RM</t>
        </is>
      </c>
      <c r="F227" s="26" t="n"/>
      <c r="G227" s="26" t="n"/>
      <c r="H227" s="26" t="inlineStr">
        <is>
          <t>RM</t>
        </is>
      </c>
      <c r="I227" s="26" t="n"/>
      <c r="J227" s="26" t="inlineStr">
        <is>
          <t>RM</t>
        </is>
      </c>
      <c r="K227" s="26">
        <f>IF(OR(G227="",I227=""),"",G227*I227)</f>
        <v/>
      </c>
      <c r="L227" s="26" t="inlineStr">
        <is>
          <t>RM</t>
        </is>
      </c>
      <c r="M227" s="26">
        <f>IF(ISERROR(K227-F227)," ",K227-F227)</f>
        <v/>
      </c>
      <c r="N227" s="2">
        <f>IF(ISERROR(M227/F227),"",IF(M227/F227=-1,"-",M227/F227))</f>
        <v/>
      </c>
      <c r="O227" s="26" t="inlineStr">
        <is>
          <t>RM</t>
        </is>
      </c>
      <c r="P227" s="23" t="n"/>
      <c r="Q227" s="26" t="n"/>
    </row>
    <row r="228" hidden="1" outlineLevel="1">
      <c r="A228" s="26" t="inlineStr">
        <is>
          <t>RM</t>
        </is>
      </c>
      <c r="B228" s="26">
        <f>IF(ISERROR(F228/G228)," ",F228/G228)</f>
        <v/>
      </c>
      <c r="C228" s="26" t="n">
        <v>160</v>
      </c>
      <c r="D228" s="30" t="inlineStr">
        <is>
          <t xml:space="preserve"> Wholesale Bond Fund - I (RM) Class</t>
        </is>
      </c>
      <c r="E228" s="26" t="inlineStr">
        <is>
          <t>RM</t>
        </is>
      </c>
      <c r="F228" s="26" t="n"/>
      <c r="G228" s="26" t="n"/>
      <c r="H228" s="26" t="inlineStr">
        <is>
          <t>RM</t>
        </is>
      </c>
      <c r="I228" s="26" t="n"/>
      <c r="J228" s="26" t="inlineStr">
        <is>
          <t>RM</t>
        </is>
      </c>
      <c r="K228" s="26">
        <f>IF(OR(G228="",I228=""),"",G228*I228)</f>
        <v/>
      </c>
      <c r="L228" s="26" t="inlineStr">
        <is>
          <t>RM</t>
        </is>
      </c>
      <c r="M228" s="26">
        <f>IF(ISERROR(K228-F228)," ",K228-F228)</f>
        <v/>
      </c>
      <c r="N228" s="26">
        <f>IF(ISERROR(M228/F228),"",IF(M228/F228=-1,"-",M228/F228))</f>
        <v/>
      </c>
      <c r="O228" s="26" t="inlineStr">
        <is>
          <t>RM</t>
        </is>
      </c>
      <c r="P228" s="23" t="n"/>
      <c r="Q228" s="26" t="inlineStr">
        <is>
          <t>Jan</t>
        </is>
      </c>
    </row>
    <row r="229" hidden="1" outlineLevel="1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26" t="inlineStr">
        <is>
          <t>RM</t>
        </is>
      </c>
      <c r="P229" s="23" t="n"/>
      <c r="Q229" s="26" t="inlineStr">
        <is>
          <t>Apr</t>
        </is>
      </c>
    </row>
    <row r="230" hidden="1" outlineLevel="1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26" t="inlineStr">
        <is>
          <t>RM</t>
        </is>
      </c>
      <c r="P230" s="23" t="n"/>
      <c r="Q230" s="26" t="inlineStr">
        <is>
          <t>Jul</t>
        </is>
      </c>
    </row>
    <row r="231" hidden="1" outlineLevel="1">
      <c r="A231" s="43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26" t="inlineStr">
        <is>
          <t>RM</t>
        </is>
      </c>
      <c r="P231" s="23" t="n"/>
      <c r="Q231" s="26" t="inlineStr">
        <is>
          <t>Oct</t>
        </is>
      </c>
    </row>
    <row r="232" hidden="1" outlineLevel="1">
      <c r="A232" s="26" t="inlineStr">
        <is>
          <t>RM</t>
        </is>
      </c>
      <c r="B232" s="26">
        <f>IF(ISERROR(F232/G232)," ",F232/G232)</f>
        <v/>
      </c>
      <c r="C232" s="26" t="n">
        <v>160</v>
      </c>
      <c r="D232" s="30" t="inlineStr">
        <is>
          <t xml:space="preserve"> Global Aqua Fund - A (RM) Class</t>
        </is>
      </c>
      <c r="E232" s="26" t="inlineStr">
        <is>
          <t>RM</t>
        </is>
      </c>
      <c r="F232" s="26" t="n"/>
      <c r="G232" s="26" t="n"/>
      <c r="H232" s="26" t="inlineStr">
        <is>
          <t>RM</t>
        </is>
      </c>
      <c r="I232" s="26" t="n"/>
      <c r="J232" s="26" t="inlineStr">
        <is>
          <t>RM</t>
        </is>
      </c>
      <c r="K232" s="26">
        <f>IF(OR(G232="",I232=""),"",G232*I232)</f>
        <v/>
      </c>
      <c r="L232" s="26" t="inlineStr">
        <is>
          <t>RM</t>
        </is>
      </c>
      <c r="M232" s="26">
        <f>IF(ISERROR(K232-F232)," ",K232-F232)</f>
        <v/>
      </c>
      <c r="N232" s="2">
        <f>IF(ISERROR(M232/F232),"",IF(M232/F232=-1,"-",M232/F232))</f>
        <v/>
      </c>
      <c r="O232" s="26" t="inlineStr">
        <is>
          <t>RM</t>
        </is>
      </c>
      <c r="P232" s="23" t="n"/>
      <c r="Q232" s="26" t="n"/>
    </row>
    <row r="233" hidden="1" outlineLevel="1">
      <c r="A233" s="26" t="inlineStr">
        <is>
          <t>RM</t>
        </is>
      </c>
      <c r="B233" s="26">
        <f>IF(ISERROR(F233/G233)," ",F233/G233)</f>
        <v/>
      </c>
      <c r="C233" s="26" t="n">
        <v>161</v>
      </c>
      <c r="D233" s="30" t="inlineStr">
        <is>
          <t xml:space="preserve"> Asia Pacific Opportunities Fund - A (RM) Class</t>
        </is>
      </c>
      <c r="E233" s="26" t="inlineStr">
        <is>
          <t>RM</t>
        </is>
      </c>
      <c r="F233" s="26" t="n"/>
      <c r="G233" s="26" t="n"/>
      <c r="H233" s="26" t="inlineStr">
        <is>
          <t>RM</t>
        </is>
      </c>
      <c r="I233" s="26" t="n"/>
      <c r="J233" s="26" t="inlineStr">
        <is>
          <t>RM</t>
        </is>
      </c>
      <c r="K233" s="26">
        <f>IF(OR(G233="",I233=""),"",G233*I233)</f>
        <v/>
      </c>
      <c r="L233" s="26" t="inlineStr">
        <is>
          <t>RM</t>
        </is>
      </c>
      <c r="M233" s="26">
        <f>IF(ISERROR(K233-F233)," ",K233-F233)</f>
        <v/>
      </c>
      <c r="N233" s="2">
        <f>IF(ISERROR(M233/F233),"",IF(M233/F233=-1,"-",M233/F233))</f>
        <v/>
      </c>
      <c r="O233" s="26" t="inlineStr">
        <is>
          <t>RM</t>
        </is>
      </c>
      <c r="P233" s="23" t="n"/>
      <c r="Q233" s="26" t="n"/>
    </row>
    <row r="234" hidden="1" outlineLevel="1" collapsed="1">
      <c r="A234" s="26" t="inlineStr">
        <is>
          <t>RM</t>
        </is>
      </c>
      <c r="B234" s="26">
        <f>IF(ISERROR(F234/G234)," ",F234/G234)</f>
        <v/>
      </c>
      <c r="C234" s="26" t="n">
        <v>162</v>
      </c>
      <c r="D234" s="30" t="inlineStr">
        <is>
          <t xml:space="preserve"> Diversified Real Asset Fund - A (USD) Class</t>
        </is>
      </c>
      <c r="E234" s="26" t="inlineStr">
        <is>
          <t>RM</t>
        </is>
      </c>
      <c r="F234" s="26" t="n"/>
      <c r="G234" s="26" t="n"/>
      <c r="H234" s="26" t="inlineStr">
        <is>
          <t>RM</t>
        </is>
      </c>
      <c r="I234" s="26" t="n"/>
      <c r="J234" s="26" t="inlineStr">
        <is>
          <t>RM</t>
        </is>
      </c>
      <c r="K234" s="26">
        <f>IF(OR(G234="",I234=""),"",G234*I234)</f>
        <v/>
      </c>
      <c r="L234" s="26" t="inlineStr">
        <is>
          <t>RM</t>
        </is>
      </c>
      <c r="M234" s="26">
        <f>IF(ISERROR(K234-F234)," ",K234-F234)</f>
        <v/>
      </c>
      <c r="N234" s="2">
        <f>IF(ISERROR(M234/F234),"",IF(M234/F234=-1,"-",M234/F234))</f>
        <v/>
      </c>
      <c r="O234" s="26" t="inlineStr">
        <is>
          <t>RM</t>
        </is>
      </c>
      <c r="P234" s="23" t="n"/>
      <c r="Q234" s="26" t="n"/>
    </row>
    <row r="235" hidden="1" outlineLevel="1">
      <c r="A235" s="26" t="inlineStr">
        <is>
          <t>RM</t>
        </is>
      </c>
      <c r="B235" s="26">
        <f>IF(ISERROR(F235/G235)," ",F235/G235)</f>
        <v/>
      </c>
      <c r="C235" s="26" t="n">
        <v>163</v>
      </c>
      <c r="D235" s="30" t="inlineStr">
        <is>
          <t xml:space="preserve"> Diversified Real Asset Fund - A (RM-Hedged) Class</t>
        </is>
      </c>
      <c r="E235" s="26" t="inlineStr">
        <is>
          <t>RM</t>
        </is>
      </c>
      <c r="F235" s="26" t="n"/>
      <c r="G235" s="26" t="n"/>
      <c r="H235" s="26" t="inlineStr">
        <is>
          <t>RM</t>
        </is>
      </c>
      <c r="I235" s="26" t="n"/>
      <c r="J235" s="26" t="inlineStr">
        <is>
          <t>RM</t>
        </is>
      </c>
      <c r="K235" s="26">
        <f>IF(OR(G235="",I235=""),"",G235*I235)</f>
        <v/>
      </c>
      <c r="L235" s="26" t="inlineStr">
        <is>
          <t>RM</t>
        </is>
      </c>
      <c r="M235" s="26">
        <f>IF(ISERROR(K235-F235)," ",K235-F235)</f>
        <v/>
      </c>
      <c r="N235" s="2">
        <f>IF(ISERROR(M235/F235),"",IF(M235/F235=-1,"-",M235/F235))</f>
        <v/>
      </c>
      <c r="O235" s="26" t="inlineStr">
        <is>
          <t>RM</t>
        </is>
      </c>
      <c r="P235" s="23" t="n"/>
      <c r="Q235" s="26" t="n"/>
    </row>
    <row r="236" hidden="1" outlineLevel="1">
      <c r="A236" s="26" t="inlineStr">
        <is>
          <t>RM</t>
        </is>
      </c>
      <c r="B236" s="26">
        <f>IF(ISERROR(F236/G236)," ",F236/G236)</f>
        <v/>
      </c>
      <c r="C236" s="26" t="n">
        <v>164</v>
      </c>
      <c r="D236" s="30" t="inlineStr">
        <is>
          <t xml:space="preserve"> Diversified Real Asset Fund - A (SGD-Hedged) Class</t>
        </is>
      </c>
      <c r="E236" s="26" t="inlineStr">
        <is>
          <t>RM</t>
        </is>
      </c>
      <c r="F236" s="26" t="n"/>
      <c r="G236" s="26" t="n"/>
      <c r="H236" s="26" t="inlineStr">
        <is>
          <t>RM</t>
        </is>
      </c>
      <c r="I236" s="26" t="n"/>
      <c r="J236" s="26" t="inlineStr">
        <is>
          <t>RM</t>
        </is>
      </c>
      <c r="K236" s="26">
        <f>IF(OR(G236="",I236=""),"",G236*I236)</f>
        <v/>
      </c>
      <c r="L236" s="26" t="inlineStr">
        <is>
          <t>RM</t>
        </is>
      </c>
      <c r="M236" s="26">
        <f>IF(ISERROR(K236-F236)," ",K236-F236)</f>
        <v/>
      </c>
      <c r="N236" s="2">
        <f>IF(ISERROR(M236/F236),"",IF(M236/F236=-1,"-",M236/F236))</f>
        <v/>
      </c>
      <c r="O236" s="26" t="inlineStr">
        <is>
          <t>RM</t>
        </is>
      </c>
      <c r="P236" s="23" t="n"/>
      <c r="Q236" s="26" t="n"/>
    </row>
    <row r="237" hidden="1" outlineLevel="1">
      <c r="A237" s="26" t="inlineStr">
        <is>
          <t>RM</t>
        </is>
      </c>
      <c r="B237" s="26">
        <f>IF(ISERROR(F237/G237)," ",F237/G237)</f>
        <v/>
      </c>
      <c r="C237" s="26" t="n">
        <v>165</v>
      </c>
      <c r="D237" s="30" t="inlineStr">
        <is>
          <t xml:space="preserve"> India Equity Fund - A (USD) Class</t>
        </is>
      </c>
      <c r="E237" s="26" t="inlineStr">
        <is>
          <t>RM</t>
        </is>
      </c>
      <c r="F237" s="26" t="n"/>
      <c r="G237" s="26" t="n"/>
      <c r="H237" s="26" t="inlineStr">
        <is>
          <t>RM</t>
        </is>
      </c>
      <c r="I237" s="26" t="n"/>
      <c r="J237" s="26" t="inlineStr">
        <is>
          <t>RM</t>
        </is>
      </c>
      <c r="K237" s="26">
        <f>IF(OR(G237="",I237=""),"",G237*I237)</f>
        <v/>
      </c>
      <c r="L237" s="26" t="inlineStr">
        <is>
          <t>RM</t>
        </is>
      </c>
      <c r="M237" s="26">
        <f>IF(ISERROR(K237-F237)," ",K237-F237)</f>
        <v/>
      </c>
      <c r="N237" s="2">
        <f>IF(ISERROR(M237/F237),"",IF(M237/F237=-1,"-",M237/F237))</f>
        <v/>
      </c>
      <c r="O237" s="26" t="inlineStr">
        <is>
          <t>RM</t>
        </is>
      </c>
      <c r="P237" s="23" t="n"/>
      <c r="Q237" s="26" t="n"/>
    </row>
    <row r="238" hidden="1" outlineLevel="1">
      <c r="A238" s="26" t="inlineStr">
        <is>
          <t>RM</t>
        </is>
      </c>
      <c r="B238" s="26">
        <f>IF(ISERROR(F238/G238)," ",F238/G238)</f>
        <v/>
      </c>
      <c r="C238" s="26" t="n">
        <v>166</v>
      </c>
      <c r="D238" s="30" t="inlineStr">
        <is>
          <t xml:space="preserve"> Shariah China Equity Fund - A (RM-Hedged) Class</t>
        </is>
      </c>
      <c r="E238" s="26" t="inlineStr">
        <is>
          <t>RM</t>
        </is>
      </c>
      <c r="F238" s="26" t="n"/>
      <c r="G238" s="26" t="n"/>
      <c r="H238" s="26" t="inlineStr">
        <is>
          <t>RM</t>
        </is>
      </c>
      <c r="I238" s="26" t="n"/>
      <c r="J238" s="26" t="inlineStr">
        <is>
          <t>RM</t>
        </is>
      </c>
      <c r="K238" s="26">
        <f>IF(OR(G238="",I238=""),"",G238*I238)</f>
        <v/>
      </c>
      <c r="L238" s="26" t="inlineStr">
        <is>
          <t>RM</t>
        </is>
      </c>
      <c r="M238" s="26">
        <f>IF(ISERROR(K238-F238)," ",K238-F238)</f>
        <v/>
      </c>
      <c r="N238" s="2">
        <f>IF(ISERROR(M238/F238),"",IF(M238/F238=-1,"-",M238/F238))</f>
        <v/>
      </c>
      <c r="O238" s="26" t="inlineStr">
        <is>
          <t>RM</t>
        </is>
      </c>
      <c r="P238" s="23" t="n"/>
      <c r="Q238" s="26" t="n"/>
    </row>
    <row r="239" hidden="1" outlineLevel="1">
      <c r="A239" s="26" t="inlineStr">
        <is>
          <t>RM</t>
        </is>
      </c>
      <c r="B239" s="26">
        <f>IF(ISERROR(F239/G239)," ",F239/G239)</f>
        <v/>
      </c>
      <c r="C239" s="26" t="n">
        <v>167</v>
      </c>
      <c r="D239" s="30" t="inlineStr">
        <is>
          <t xml:space="preserve"> Shariah India Equity Fund - A (RM-Hedged) Class</t>
        </is>
      </c>
      <c r="E239" s="26" t="inlineStr">
        <is>
          <t>RM</t>
        </is>
      </c>
      <c r="F239" s="26" t="n"/>
      <c r="G239" s="26" t="n"/>
      <c r="H239" s="26" t="inlineStr">
        <is>
          <t>RM</t>
        </is>
      </c>
      <c r="I239" s="26" t="n"/>
      <c r="J239" s="26" t="inlineStr">
        <is>
          <t>RM</t>
        </is>
      </c>
      <c r="K239" s="26">
        <f>IF(OR(G239="",I239=""),"",G239*I239)</f>
        <v/>
      </c>
      <c r="L239" s="26" t="inlineStr">
        <is>
          <t>RM</t>
        </is>
      </c>
      <c r="M239" s="26">
        <f>IF(ISERROR(K239-F239)," ",K239-F239)</f>
        <v/>
      </c>
      <c r="N239" s="2">
        <f>IF(ISERROR(M239/F239),"",IF(M239/F239=-1,"-",M239/F239))</f>
        <v/>
      </c>
      <c r="O239" s="26" t="inlineStr">
        <is>
          <t>RM</t>
        </is>
      </c>
      <c r="P239" s="23" t="n"/>
      <c r="Q239" s="26" t="n"/>
    </row>
    <row r="240" hidden="1" outlineLevel="1">
      <c r="A240" s="26" t="inlineStr">
        <is>
          <t>RM</t>
        </is>
      </c>
      <c r="B240" s="26">
        <f>IF(ISERROR(F240/G240)," ",F240/G240)</f>
        <v/>
      </c>
      <c r="C240" s="26" t="n">
        <v>168</v>
      </c>
      <c r="D240" s="30" t="inlineStr">
        <is>
          <t xml:space="preserve"> Shariah Global REIT Fund- A (RM-Hedged) Class</t>
        </is>
      </c>
      <c r="E240" s="26" t="inlineStr">
        <is>
          <t>RM</t>
        </is>
      </c>
      <c r="F240" s="26" t="n"/>
      <c r="G240" s="26" t="n"/>
      <c r="H240" s="26" t="inlineStr">
        <is>
          <t>RM</t>
        </is>
      </c>
      <c r="I240" s="26" t="n"/>
      <c r="J240" s="26" t="inlineStr">
        <is>
          <t>RM</t>
        </is>
      </c>
      <c r="K240" s="26">
        <f>IF(OR(G240="",I240=""),"",G240*I240)</f>
        <v/>
      </c>
      <c r="L240" s="26" t="inlineStr">
        <is>
          <t>RM</t>
        </is>
      </c>
      <c r="M240" s="26">
        <f>IF(ISERROR(K240-F240)," ",K240-F240)</f>
        <v/>
      </c>
      <c r="N240" s="2">
        <f>IF(ISERROR(M240/F240),"",IF(M240/F240=-1,"-",M240/F240))</f>
        <v/>
      </c>
      <c r="O240" s="26" t="inlineStr">
        <is>
          <t>RM</t>
        </is>
      </c>
      <c r="P240" s="23" t="n"/>
      <c r="Q240" s="26" t="n"/>
    </row>
    <row r="241" hidden="1" outlineLevel="1">
      <c r="A241" s="26" t="inlineStr">
        <is>
          <t>RM</t>
        </is>
      </c>
      <c r="B241" s="26">
        <f>IF(ISERROR(F241/G241)," ",F241/G241)</f>
        <v/>
      </c>
      <c r="C241" s="26" t="n">
        <v>169</v>
      </c>
      <c r="D241" s="30" t="inlineStr">
        <is>
          <t xml:space="preserve"> Cash Management Fund - Class A</t>
        </is>
      </c>
      <c r="E241" s="26" t="inlineStr">
        <is>
          <t>RM</t>
        </is>
      </c>
      <c r="F241" s="26" t="n"/>
      <c r="G241" s="26" t="n"/>
      <c r="H241" s="26" t="inlineStr">
        <is>
          <t>RM</t>
        </is>
      </c>
      <c r="I241" s="26" t="n"/>
      <c r="J241" s="26" t="inlineStr">
        <is>
          <t>RM</t>
        </is>
      </c>
      <c r="K241" s="26">
        <f>IF(OR(G241="",I241=""),"",G241*I241)</f>
        <v/>
      </c>
      <c r="L241" s="26" t="inlineStr">
        <is>
          <t>RM</t>
        </is>
      </c>
      <c r="M241" s="26">
        <f>IF(ISERROR(K241-F241)," ",K241-F241)</f>
        <v/>
      </c>
      <c r="N241" s="26">
        <f>IF(ISERROR(M241/F241),"",IF(M241/F241=-1,"-",M241/F241))</f>
        <v/>
      </c>
      <c r="O241" s="26" t="inlineStr">
        <is>
          <t>RM</t>
        </is>
      </c>
      <c r="P241" s="23" t="n"/>
      <c r="Q241" s="26" t="inlineStr">
        <is>
          <t>Jul</t>
        </is>
      </c>
    </row>
    <row r="242" hidden="1" outlineLevel="1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26" t="inlineStr">
        <is>
          <t>RM</t>
        </is>
      </c>
      <c r="P242" s="23" t="n"/>
      <c r="Q242" s="26" t="inlineStr">
        <is>
          <t>Aug</t>
        </is>
      </c>
    </row>
    <row r="243" hidden="1" outlineLevel="1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26" t="inlineStr">
        <is>
          <t>RM</t>
        </is>
      </c>
      <c r="P243" s="23" t="n"/>
      <c r="Q243" s="26" t="inlineStr">
        <is>
          <t>Sep</t>
        </is>
      </c>
    </row>
    <row r="244" hidden="1" outlineLevel="1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26" t="inlineStr">
        <is>
          <t>RM</t>
        </is>
      </c>
      <c r="P244" s="23" t="n"/>
      <c r="Q244" s="26" t="inlineStr">
        <is>
          <t>Oct</t>
        </is>
      </c>
    </row>
    <row r="245" hidden="1" outlineLevel="1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26" t="inlineStr">
        <is>
          <t>RM</t>
        </is>
      </c>
      <c r="P245" s="23" t="n"/>
      <c r="Q245" s="26" t="inlineStr">
        <is>
          <t>Nov</t>
        </is>
      </c>
    </row>
    <row r="246" hidden="1" outlineLevel="1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26" t="inlineStr">
        <is>
          <t>RM</t>
        </is>
      </c>
      <c r="P246" s="23" t="n"/>
      <c r="Q246" s="26" t="inlineStr">
        <is>
          <t>Dec</t>
        </is>
      </c>
    </row>
    <row r="247" hidden="1" outlineLevel="1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26" t="inlineStr">
        <is>
          <t>RM</t>
        </is>
      </c>
      <c r="P247" s="23" t="n"/>
      <c r="Q247" s="26" t="inlineStr">
        <is>
          <t>Jan</t>
        </is>
      </c>
    </row>
    <row r="248" hidden="1" outlineLevel="1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26" t="inlineStr">
        <is>
          <t>RM</t>
        </is>
      </c>
      <c r="P248" s="23" t="n"/>
      <c r="Q248" s="26" t="inlineStr">
        <is>
          <t>Feb</t>
        </is>
      </c>
    </row>
    <row r="249" hidden="1" outlineLevel="1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26" t="inlineStr">
        <is>
          <t>RM</t>
        </is>
      </c>
      <c r="P249" s="23" t="n"/>
      <c r="Q249" s="26" t="inlineStr">
        <is>
          <t>Mar</t>
        </is>
      </c>
    </row>
    <row r="250" hidden="1" outlineLevel="1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26" t="inlineStr">
        <is>
          <t>RM</t>
        </is>
      </c>
      <c r="P250" s="23" t="n"/>
      <c r="Q250" s="26" t="inlineStr">
        <is>
          <t>Apr</t>
        </is>
      </c>
    </row>
    <row r="251" hidden="1" outlineLevel="1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26" t="inlineStr">
        <is>
          <t>RM</t>
        </is>
      </c>
      <c r="P251" s="23" t="n"/>
      <c r="Q251" s="26" t="inlineStr">
        <is>
          <t>May</t>
        </is>
      </c>
    </row>
    <row r="252" hidden="1" outlineLevel="1">
      <c r="A252" s="43" t="n"/>
      <c r="B252" s="43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26" t="inlineStr">
        <is>
          <t>RM</t>
        </is>
      </c>
      <c r="P252" s="23" t="n"/>
      <c r="Q252" s="26" t="inlineStr">
        <is>
          <t>Jun</t>
        </is>
      </c>
    </row>
    <row r="253" hidden="1" outlineLevel="1" collapsed="1">
      <c r="A253" s="26" t="inlineStr">
        <is>
          <t>RM</t>
        </is>
      </c>
      <c r="B253" s="26">
        <f>IF(ISERROR(F253/G253)," ",F253/G253)</f>
        <v/>
      </c>
      <c r="C253" s="26" t="n">
        <v>170</v>
      </c>
      <c r="D253" s="30" t="inlineStr">
        <is>
          <t xml:space="preserve"> Shariah Dynamic Leaders Fund - A (RM-Hedged) Class</t>
        </is>
      </c>
      <c r="E253" s="26" t="inlineStr">
        <is>
          <t>RM</t>
        </is>
      </c>
      <c r="F253" s="26" t="n"/>
      <c r="G253" s="26" t="n"/>
      <c r="H253" s="26" t="inlineStr">
        <is>
          <t>RM</t>
        </is>
      </c>
      <c r="I253" s="26" t="n"/>
      <c r="J253" s="26" t="inlineStr">
        <is>
          <t>RM</t>
        </is>
      </c>
      <c r="K253" s="26">
        <f>IF(OR(G253="",I253=""),"",G253*I253)</f>
        <v/>
      </c>
      <c r="L253" s="26" t="inlineStr">
        <is>
          <t>RM</t>
        </is>
      </c>
      <c r="M253" s="26">
        <f>IF(ISERROR(K253-F253)," ",K253-F253)</f>
        <v/>
      </c>
      <c r="N253" s="2">
        <f>IF(ISERROR(M253/F253),"",IF(M253/F253=-1,"-",M253/F253))</f>
        <v/>
      </c>
      <c r="O253" s="26" t="inlineStr">
        <is>
          <t>RM</t>
        </is>
      </c>
      <c r="P253" s="23" t="n"/>
      <c r="Q253" s="26" t="n"/>
    </row>
    <row r="254" collapsed="1">
      <c r="A254" s="26" t="inlineStr">
        <is>
          <t>RM</t>
        </is>
      </c>
      <c r="B254" s="26">
        <f>IF(ISERROR(F254/G254)," ",F254/G254)</f>
        <v/>
      </c>
      <c r="C254" s="26" t="n">
        <v>171</v>
      </c>
      <c r="D254" s="30" t="inlineStr">
        <is>
          <t>SHARIAH DLEADERS-RM</t>
        </is>
      </c>
      <c r="E254" s="26" t="inlineStr">
        <is>
          <t>RM</t>
        </is>
      </c>
      <c r="F254" s="26" t="n"/>
      <c r="G254" s="26" t="n"/>
      <c r="H254" s="26" t="inlineStr">
        <is>
          <t>RM</t>
        </is>
      </c>
      <c r="I254" s="26" t="n"/>
      <c r="J254" s="26" t="inlineStr">
        <is>
          <t>RM</t>
        </is>
      </c>
      <c r="K254" s="26">
        <f>IF(OR(G254="",I254=""),"",G254*I254)</f>
        <v/>
      </c>
      <c r="L254" s="26" t="inlineStr">
        <is>
          <t>RM</t>
        </is>
      </c>
      <c r="M254" s="26">
        <f>IF(ISERROR(K254-F254)," ",K254-F254)</f>
        <v/>
      </c>
      <c r="N254" s="2">
        <f>IF(ISERROR(M254/F254),"",IF(M254/F254=-1,"-",M254/F254))</f>
        <v/>
      </c>
      <c r="O254" s="26" t="inlineStr">
        <is>
          <t>RM</t>
        </is>
      </c>
      <c r="P254" s="23" t="n"/>
      <c r="Q254" s="26" t="inlineStr">
        <is>
          <t>Aug</t>
        </is>
      </c>
    </row>
    <row r="255" hidden="1" outlineLevel="1">
      <c r="A255" s="26" t="inlineStr">
        <is>
          <t>RM</t>
        </is>
      </c>
      <c r="B255" s="26">
        <f>IF(ISERROR(F255/G255)," ",F255/G255)</f>
        <v/>
      </c>
      <c r="C255" s="26" t="n">
        <v>172</v>
      </c>
      <c r="D255" s="26" t="inlineStr">
        <is>
          <t xml:space="preserve"> Shariah Dynamic Leaders Fund - A (USD) Class</t>
        </is>
      </c>
      <c r="E255" s="26" t="inlineStr">
        <is>
          <t>RM</t>
        </is>
      </c>
      <c r="F255" s="26" t="n"/>
      <c r="G255" s="26" t="n"/>
      <c r="H255" s="26" t="inlineStr">
        <is>
          <t>RM</t>
        </is>
      </c>
      <c r="I255" s="26" t="n"/>
      <c r="J255" s="26" t="inlineStr">
        <is>
          <t>RM</t>
        </is>
      </c>
      <c r="K255" s="26">
        <f>IF(OR(G255="",I255=""),"",G255*I255)</f>
        <v/>
      </c>
      <c r="L255" s="26" t="inlineStr">
        <is>
          <t>RM</t>
        </is>
      </c>
      <c r="M255" s="26">
        <f>IF(ISERROR(K255-F255)," ",K255-F255)</f>
        <v/>
      </c>
      <c r="N255" s="2">
        <f>IF(ISERROR(M255/F255),"",IF(M255/F255=-1,"-",M255/F255))</f>
        <v/>
      </c>
      <c r="O255" s="26" t="inlineStr">
        <is>
          <t>RM</t>
        </is>
      </c>
      <c r="P255" s="23" t="n"/>
      <c r="Q255" s="26" t="n"/>
    </row>
    <row r="256" hidden="1" outlineLevel="1">
      <c r="A256" s="26" t="inlineStr">
        <is>
          <t>RM</t>
        </is>
      </c>
      <c r="B256" s="26">
        <f>IF(ISERROR(F256/G256)," ",F256/G256)</f>
        <v/>
      </c>
      <c r="C256" s="26" t="n">
        <v>173</v>
      </c>
      <c r="D256" s="26" t="inlineStr">
        <is>
          <t xml:space="preserve"> Global Multi-Asset Diversified Income Fund -A (RM Hedged) (F)</t>
        </is>
      </c>
      <c r="E256" s="26" t="inlineStr">
        <is>
          <t>RM</t>
        </is>
      </c>
      <c r="F256" s="26" t="n"/>
      <c r="G256" s="26" t="n"/>
      <c r="H256" s="26" t="inlineStr">
        <is>
          <t>RM</t>
        </is>
      </c>
      <c r="I256" s="26" t="n"/>
      <c r="J256" s="26" t="inlineStr">
        <is>
          <t>RM</t>
        </is>
      </c>
      <c r="K256" s="26">
        <f>IF(OR(G256="",I256=""),"",G256*I256)</f>
        <v/>
      </c>
      <c r="L256" s="26" t="inlineStr">
        <is>
          <t>RM</t>
        </is>
      </c>
      <c r="M256" s="26">
        <f>IF(ISERROR(K256-F256)," ",K256-F256)</f>
        <v/>
      </c>
      <c r="N256" s="26">
        <f>IF(ISERROR(M256/F256),"",IF(M256/F256=-1,"-",M256/F256))</f>
        <v/>
      </c>
      <c r="O256" s="26" t="inlineStr">
        <is>
          <t>RM</t>
        </is>
      </c>
      <c r="P256" s="23" t="n"/>
      <c r="Q256" s="26" t="inlineStr">
        <is>
          <t>Jul</t>
        </is>
      </c>
    </row>
    <row r="257" hidden="1" outlineLevel="1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26" t="inlineStr">
        <is>
          <t>RM</t>
        </is>
      </c>
      <c r="P257" s="23" t="n"/>
      <c r="Q257" s="26" t="inlineStr">
        <is>
          <t>Aug</t>
        </is>
      </c>
    </row>
    <row r="258" hidden="1" outlineLevel="1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26" t="inlineStr">
        <is>
          <t>RM</t>
        </is>
      </c>
      <c r="P258" s="23" t="n"/>
      <c r="Q258" s="26" t="inlineStr">
        <is>
          <t>Sep</t>
        </is>
      </c>
    </row>
    <row r="259" hidden="1" outlineLevel="1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26" t="inlineStr">
        <is>
          <t>RM</t>
        </is>
      </c>
      <c r="P259" s="23" t="n"/>
      <c r="Q259" s="26" t="inlineStr">
        <is>
          <t>Oct</t>
        </is>
      </c>
    </row>
    <row r="260" hidden="1" outlineLevel="1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26" t="inlineStr">
        <is>
          <t>RM</t>
        </is>
      </c>
      <c r="P260" s="23" t="n"/>
      <c r="Q260" s="26" t="inlineStr">
        <is>
          <t>Nov</t>
        </is>
      </c>
    </row>
    <row r="261" hidden="1" outlineLevel="1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26" t="inlineStr">
        <is>
          <t>RM</t>
        </is>
      </c>
      <c r="P261" s="23" t="n"/>
      <c r="Q261" s="26" t="inlineStr">
        <is>
          <t>Dec</t>
        </is>
      </c>
    </row>
    <row r="262" hidden="1" outlineLevel="1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26" t="inlineStr">
        <is>
          <t>RM</t>
        </is>
      </c>
      <c r="P262" s="23" t="n"/>
      <c r="Q262" s="26" t="inlineStr">
        <is>
          <t>Jan</t>
        </is>
      </c>
    </row>
    <row r="263" hidden="1" outlineLevel="1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26" t="inlineStr">
        <is>
          <t>RM</t>
        </is>
      </c>
      <c r="P263" s="23" t="n"/>
      <c r="Q263" s="26" t="inlineStr">
        <is>
          <t>Feb</t>
        </is>
      </c>
    </row>
    <row r="264" hidden="1" outlineLevel="1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26" t="inlineStr">
        <is>
          <t>RM</t>
        </is>
      </c>
      <c r="P264" s="23" t="n"/>
      <c r="Q264" s="26" t="inlineStr">
        <is>
          <t>Mar</t>
        </is>
      </c>
    </row>
    <row r="265" hidden="1" outlineLevel="1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26" t="inlineStr">
        <is>
          <t>RM</t>
        </is>
      </c>
      <c r="P265" s="23" t="n"/>
      <c r="Q265" s="26" t="inlineStr">
        <is>
          <t>Apr</t>
        </is>
      </c>
    </row>
    <row r="266" hidden="1" outlineLevel="1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26" t="inlineStr">
        <is>
          <t>RM</t>
        </is>
      </c>
      <c r="P266" s="23" t="n"/>
      <c r="Q266" s="26" t="inlineStr">
        <is>
          <t>May</t>
        </is>
      </c>
    </row>
    <row r="267" hidden="1" outlineLevel="1">
      <c r="A267" s="43" t="n"/>
      <c r="B267" s="43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26" t="inlineStr">
        <is>
          <t>RM</t>
        </is>
      </c>
      <c r="P267" s="23" t="n"/>
      <c r="Q267" s="26" t="inlineStr">
        <is>
          <t>Jun</t>
        </is>
      </c>
    </row>
    <row r="268" hidden="1" outlineLevel="1">
      <c r="A268" s="26" t="inlineStr">
        <is>
          <t>RM</t>
        </is>
      </c>
      <c r="B268" s="26">
        <f>IF(ISERROR(F268/G268)," ",F268/G268)</f>
        <v/>
      </c>
      <c r="C268" s="26" t="n">
        <v>174</v>
      </c>
      <c r="D268" s="26" t="inlineStr">
        <is>
          <t xml:space="preserve"> Global Multi-Asset Diversified Income Fund -A (RM) (F) Class</t>
        </is>
      </c>
      <c r="E268" s="26" t="inlineStr">
        <is>
          <t>RM</t>
        </is>
      </c>
      <c r="F268" s="26" t="n"/>
      <c r="G268" s="26" t="n"/>
      <c r="H268" s="26" t="inlineStr">
        <is>
          <t>RM</t>
        </is>
      </c>
      <c r="I268" s="26" t="n"/>
      <c r="J268" s="26" t="inlineStr">
        <is>
          <t>RM</t>
        </is>
      </c>
      <c r="K268" s="26">
        <f>IF(OR(G268="",I268=""),"",G268*I268)</f>
        <v/>
      </c>
      <c r="L268" s="26" t="inlineStr">
        <is>
          <t>RM</t>
        </is>
      </c>
      <c r="M268" s="26">
        <f>IF(ISERROR(K268-F268)," ",K268-F268)</f>
        <v/>
      </c>
      <c r="N268" s="26">
        <f>IF(ISERROR(M268/F268),"",IF(M268/F268=-1,"-",M268/F268))</f>
        <v/>
      </c>
      <c r="O268" s="26" t="inlineStr">
        <is>
          <t>RM</t>
        </is>
      </c>
      <c r="P268" s="23" t="n"/>
      <c r="Q268" s="26" t="inlineStr">
        <is>
          <t>Jul</t>
        </is>
      </c>
    </row>
    <row r="269" hidden="1" outlineLevel="1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26" t="inlineStr">
        <is>
          <t>RM</t>
        </is>
      </c>
      <c r="P269" s="23" t="n"/>
      <c r="Q269" s="26" t="inlineStr">
        <is>
          <t>Aug</t>
        </is>
      </c>
    </row>
    <row r="270" hidden="1" outlineLevel="1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26" t="inlineStr">
        <is>
          <t>RM</t>
        </is>
      </c>
      <c r="P270" s="23" t="n"/>
      <c r="Q270" s="26" t="inlineStr">
        <is>
          <t>Sep</t>
        </is>
      </c>
    </row>
    <row r="271" hidden="1" outlineLevel="1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26" t="inlineStr">
        <is>
          <t>RM</t>
        </is>
      </c>
      <c r="P271" s="23" t="n"/>
      <c r="Q271" s="26" t="inlineStr">
        <is>
          <t>Oct</t>
        </is>
      </c>
    </row>
    <row r="272" hidden="1" outlineLevel="1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26" t="inlineStr">
        <is>
          <t>RM</t>
        </is>
      </c>
      <c r="P272" s="23" t="n"/>
      <c r="Q272" s="26" t="inlineStr">
        <is>
          <t>Nov</t>
        </is>
      </c>
    </row>
    <row r="273" hidden="1" outlineLevel="1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26" t="inlineStr">
        <is>
          <t>RM</t>
        </is>
      </c>
      <c r="P273" s="23" t="n"/>
      <c r="Q273" s="26" t="inlineStr">
        <is>
          <t>Dec</t>
        </is>
      </c>
    </row>
    <row r="274" hidden="1" outlineLevel="1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26" t="inlineStr">
        <is>
          <t>RM</t>
        </is>
      </c>
      <c r="P274" s="23" t="n"/>
      <c r="Q274" s="26" t="inlineStr">
        <is>
          <t>Jan</t>
        </is>
      </c>
    </row>
    <row r="275" hidden="1" outlineLevel="1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26" t="inlineStr">
        <is>
          <t>RM</t>
        </is>
      </c>
      <c r="P275" s="23" t="n"/>
      <c r="Q275" s="26" t="inlineStr">
        <is>
          <t>Feb</t>
        </is>
      </c>
    </row>
    <row r="276" hidden="1" outlineLevel="1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26" t="inlineStr">
        <is>
          <t>RM</t>
        </is>
      </c>
      <c r="P276" s="23" t="n"/>
      <c r="Q276" s="26" t="inlineStr">
        <is>
          <t>Mar</t>
        </is>
      </c>
    </row>
    <row r="277" hidden="1" outlineLevel="1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26" t="inlineStr">
        <is>
          <t>RM</t>
        </is>
      </c>
      <c r="P277" s="23" t="n"/>
      <c r="Q277" s="26" t="inlineStr">
        <is>
          <t>Apr</t>
        </is>
      </c>
    </row>
    <row r="278" hidden="1" outlineLevel="1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26" t="inlineStr">
        <is>
          <t>RM</t>
        </is>
      </c>
      <c r="P278" s="23" t="n"/>
      <c r="Q278" s="26" t="inlineStr">
        <is>
          <t>May</t>
        </is>
      </c>
    </row>
    <row r="279" hidden="1" outlineLevel="1">
      <c r="A279" s="43" t="n"/>
      <c r="B279" s="43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26" t="inlineStr">
        <is>
          <t>RM</t>
        </is>
      </c>
      <c r="P279" s="23" t="n"/>
      <c r="Q279" s="26" t="inlineStr">
        <is>
          <t>Jun</t>
        </is>
      </c>
    </row>
    <row r="280" hidden="1" outlineLevel="1">
      <c r="A280" s="26" t="inlineStr">
        <is>
          <t>RM</t>
        </is>
      </c>
      <c r="B280" s="26">
        <f>IF(ISERROR(F280/G280)," ",F280/G280)</f>
        <v/>
      </c>
      <c r="C280" s="26" t="n">
        <v>175</v>
      </c>
      <c r="D280" s="26" t="inlineStr">
        <is>
          <t xml:space="preserve"> Global Multi-Asset Diversified Income Fund -A (USD) (F) Class</t>
        </is>
      </c>
      <c r="E280" s="26" t="inlineStr">
        <is>
          <t>RM</t>
        </is>
      </c>
      <c r="F280" s="26" t="n"/>
      <c r="G280" s="26" t="n"/>
      <c r="H280" s="26" t="inlineStr">
        <is>
          <t>RM</t>
        </is>
      </c>
      <c r="I280" s="26" t="n"/>
      <c r="J280" s="26" t="inlineStr">
        <is>
          <t>RM</t>
        </is>
      </c>
      <c r="K280" s="26">
        <f>IF(OR(G280="",I280=""),"",G280*I280)</f>
        <v/>
      </c>
      <c r="L280" s="26" t="inlineStr">
        <is>
          <t>RM</t>
        </is>
      </c>
      <c r="M280" s="26">
        <f>IF(ISERROR(K280-F280)," ",K280-F280)</f>
        <v/>
      </c>
      <c r="N280" s="26">
        <f>IF(ISERROR(M280/F280),"",IF(M280/F280=-1,"-",M280/F280))</f>
        <v/>
      </c>
      <c r="O280" s="26" t="inlineStr">
        <is>
          <t>RM</t>
        </is>
      </c>
      <c r="P280" s="23" t="n"/>
      <c r="Q280" s="26" t="inlineStr">
        <is>
          <t>Jul</t>
        </is>
      </c>
    </row>
    <row r="281" hidden="1" outlineLevel="1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26" t="inlineStr">
        <is>
          <t>RM</t>
        </is>
      </c>
      <c r="P281" s="23" t="n"/>
      <c r="Q281" s="26" t="inlineStr">
        <is>
          <t>Aug</t>
        </is>
      </c>
    </row>
    <row r="282" hidden="1" outlineLevel="1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26" t="inlineStr">
        <is>
          <t>RM</t>
        </is>
      </c>
      <c r="P282" s="23" t="n"/>
      <c r="Q282" s="26" t="inlineStr">
        <is>
          <t>Sep</t>
        </is>
      </c>
    </row>
    <row r="283" hidden="1" outlineLevel="1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26" t="inlineStr">
        <is>
          <t>RM</t>
        </is>
      </c>
      <c r="P283" s="23" t="n"/>
      <c r="Q283" s="26" t="inlineStr">
        <is>
          <t>Oct</t>
        </is>
      </c>
    </row>
    <row r="284" hidden="1" outlineLevel="1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26" t="inlineStr">
        <is>
          <t>RM</t>
        </is>
      </c>
      <c r="P284" s="23" t="n"/>
      <c r="Q284" s="26" t="inlineStr">
        <is>
          <t>Nov</t>
        </is>
      </c>
    </row>
    <row r="285" hidden="1" outlineLevel="1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26" t="inlineStr">
        <is>
          <t>RM</t>
        </is>
      </c>
      <c r="P285" s="23" t="n"/>
      <c r="Q285" s="26" t="inlineStr">
        <is>
          <t>Dec</t>
        </is>
      </c>
    </row>
    <row r="286" hidden="1" outlineLevel="1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26" t="inlineStr">
        <is>
          <t>RM</t>
        </is>
      </c>
      <c r="P286" s="23" t="n"/>
      <c r="Q286" s="26" t="inlineStr">
        <is>
          <t>Jan</t>
        </is>
      </c>
    </row>
    <row r="287" hidden="1" outlineLevel="1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26" t="inlineStr">
        <is>
          <t>RM</t>
        </is>
      </c>
      <c r="P287" s="23" t="n"/>
      <c r="Q287" s="26" t="inlineStr">
        <is>
          <t>Feb</t>
        </is>
      </c>
    </row>
    <row r="288" hidden="1" outlineLevel="1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26" t="inlineStr">
        <is>
          <t>RM</t>
        </is>
      </c>
      <c r="P288" s="23" t="n"/>
      <c r="Q288" s="26" t="inlineStr">
        <is>
          <t>Mar</t>
        </is>
      </c>
    </row>
    <row r="289" hidden="1" outlineLevel="1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26" t="inlineStr">
        <is>
          <t>RM</t>
        </is>
      </c>
      <c r="P289" s="23" t="n"/>
      <c r="Q289" s="26" t="inlineStr">
        <is>
          <t>Apr</t>
        </is>
      </c>
    </row>
    <row r="290" hidden="1" outlineLevel="1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26" t="inlineStr">
        <is>
          <t>RM</t>
        </is>
      </c>
      <c r="P290" s="23" t="n"/>
      <c r="Q290" s="26" t="inlineStr">
        <is>
          <t>May</t>
        </is>
      </c>
    </row>
    <row r="291" hidden="1" outlineLevel="1">
      <c r="A291" s="43" t="n"/>
      <c r="B291" s="43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26" t="inlineStr">
        <is>
          <t>RM</t>
        </is>
      </c>
      <c r="P291" s="23" t="n"/>
      <c r="Q291" s="26" t="inlineStr">
        <is>
          <t>Jun</t>
        </is>
      </c>
    </row>
    <row r="292" hidden="1" outlineLevel="1">
      <c r="A292" s="26" t="inlineStr">
        <is>
          <t>RM</t>
        </is>
      </c>
      <c r="B292" s="26">
        <f>IF(ISERROR(F292/G292)," ",F292/G292)</f>
        <v/>
      </c>
      <c r="C292" s="26" t="n">
        <v>176</v>
      </c>
      <c r="D292" s="26" t="inlineStr">
        <is>
          <t xml:space="preserve"> Global Multi-Asset Diversified Income Fund -A (SGD Hedged)(G)</t>
        </is>
      </c>
      <c r="E292" s="26" t="inlineStr">
        <is>
          <t>RM</t>
        </is>
      </c>
      <c r="F292" s="26" t="n"/>
      <c r="G292" s="26" t="n"/>
      <c r="H292" s="26" t="inlineStr">
        <is>
          <t>RM</t>
        </is>
      </c>
      <c r="I292" s="26" t="n"/>
      <c r="J292" s="26" t="inlineStr">
        <is>
          <t>RM</t>
        </is>
      </c>
      <c r="K292" s="26">
        <f>IF(OR(G292="",I292=""),"",G292*I292)</f>
        <v/>
      </c>
      <c r="L292" s="26" t="inlineStr">
        <is>
          <t>RM</t>
        </is>
      </c>
      <c r="M292" s="26">
        <f>IF(ISERROR(K292-F292)," ",K292-F292)</f>
        <v/>
      </c>
      <c r="N292" s="2">
        <f>IF(ISERROR(M292/F292),"",IF(M292/F292=-1,"-",M292/F292))</f>
        <v/>
      </c>
      <c r="O292" s="26" t="inlineStr">
        <is>
          <t>RM</t>
        </is>
      </c>
      <c r="P292" s="23" t="n"/>
      <c r="Q292" s="26" t="n"/>
    </row>
    <row r="293" hidden="1" outlineLevel="1">
      <c r="A293" s="26" t="inlineStr">
        <is>
          <t>RM</t>
        </is>
      </c>
      <c r="B293" s="26">
        <f>IF(ISERROR(F293/G293)," ",F293/G293)</f>
        <v/>
      </c>
      <c r="C293" s="26" t="n">
        <v>177</v>
      </c>
      <c r="D293" s="26" t="inlineStr">
        <is>
          <t xml:space="preserve"> Global Multi-Asset Diversified Income Fund -A (AUD Hedged)(G)</t>
        </is>
      </c>
      <c r="E293" s="26" t="inlineStr">
        <is>
          <t>RM</t>
        </is>
      </c>
      <c r="F293" s="26" t="n"/>
      <c r="G293" s="26" t="n"/>
      <c r="H293" s="26" t="inlineStr">
        <is>
          <t>RM</t>
        </is>
      </c>
      <c r="I293" s="26" t="n"/>
      <c r="J293" s="26" t="inlineStr">
        <is>
          <t>RM</t>
        </is>
      </c>
      <c r="K293" s="26">
        <f>IF(OR(G293="",I293=""),"",G293*I293)</f>
        <v/>
      </c>
      <c r="L293" s="26" t="inlineStr">
        <is>
          <t>RM</t>
        </is>
      </c>
      <c r="M293" s="26">
        <f>IF(ISERROR(K293-F293)," ",K293-F293)</f>
        <v/>
      </c>
      <c r="N293" s="2">
        <f>IF(ISERROR(M293/F293),"",IF(M293/F293=-1,"-",M293/F293))</f>
        <v/>
      </c>
      <c r="O293" s="26" t="inlineStr">
        <is>
          <t>RM</t>
        </is>
      </c>
      <c r="P293" s="23" t="n"/>
      <c r="Q293" s="26" t="n"/>
    </row>
    <row r="294" hidden="1" outlineLevel="1">
      <c r="A294" s="26" t="inlineStr">
        <is>
          <t>RM</t>
        </is>
      </c>
      <c r="B294" s="26">
        <f>IF(ISERROR(F294/G294)," ",F294/G294)</f>
        <v/>
      </c>
      <c r="C294" s="26" t="n">
        <v>178</v>
      </c>
      <c r="D294" s="26" t="inlineStr">
        <is>
          <t xml:space="preserve"> Global Multi-Asset Diversified Income Fund -A (SGD Hedged)(F)</t>
        </is>
      </c>
      <c r="E294" s="26" t="inlineStr">
        <is>
          <t>RM</t>
        </is>
      </c>
      <c r="F294" s="26" t="n"/>
      <c r="G294" s="26" t="n"/>
      <c r="H294" s="26" t="inlineStr">
        <is>
          <t>RM</t>
        </is>
      </c>
      <c r="I294" s="26" t="n"/>
      <c r="J294" s="26" t="inlineStr">
        <is>
          <t>RM</t>
        </is>
      </c>
      <c r="K294" s="26">
        <f>IF(OR(G294="",I294=""),"",G294*I294)</f>
        <v/>
      </c>
      <c r="L294" s="26" t="inlineStr">
        <is>
          <t>RM</t>
        </is>
      </c>
      <c r="M294" s="26">
        <f>IF(ISERROR(K294-F294)," ",K294-F294)</f>
        <v/>
      </c>
      <c r="N294" s="2">
        <f>IF(ISERROR(M294/F294),"",IF(M294/F294=-1,"-",M294/F294))</f>
        <v/>
      </c>
      <c r="O294" s="26" t="inlineStr">
        <is>
          <t>RM</t>
        </is>
      </c>
      <c r="P294" s="23" t="n"/>
      <c r="Q294" s="26" t="n"/>
    </row>
    <row r="295" hidden="1" outlineLevel="1">
      <c r="A295" s="16" t="inlineStr">
        <is>
          <t>RM</t>
        </is>
      </c>
      <c r="B295" s="16">
        <f>IF(ISERROR(F295/G295)," ",F295/G295)</f>
        <v/>
      </c>
      <c r="C295" s="16" t="n">
        <v>179</v>
      </c>
      <c r="D295" s="16" t="inlineStr">
        <is>
          <t xml:space="preserve"> Global Multi-Asset Diversified Income Fund -A (AUD Hedged)(F)</t>
        </is>
      </c>
      <c r="E295" s="16" t="inlineStr">
        <is>
          <t>RM</t>
        </is>
      </c>
      <c r="F295" s="16" t="n"/>
      <c r="G295" s="16" t="n"/>
      <c r="H295" s="16" t="inlineStr">
        <is>
          <t>RM</t>
        </is>
      </c>
      <c r="I295" s="16" t="n"/>
      <c r="J295" s="16" t="inlineStr">
        <is>
          <t>RM</t>
        </is>
      </c>
      <c r="K295" s="16">
        <f>IF(OR(G295="",I295=""),"",G295*I295)</f>
        <v/>
      </c>
      <c r="L295" s="16" t="inlineStr">
        <is>
          <t>RM</t>
        </is>
      </c>
      <c r="M295" s="16">
        <f>IF(ISERROR(K295-F295)," ",K295-F295)</f>
        <v/>
      </c>
      <c r="N295" s="2">
        <f>IF(ISERROR(M295/F295),"",IF(M295/F295=-1,"-",M295/F295))</f>
        <v/>
      </c>
      <c r="O295" s="16" t="inlineStr">
        <is>
          <t>RM</t>
        </is>
      </c>
      <c r="P295" s="24" t="n"/>
      <c r="Q295" s="16" t="n"/>
    </row>
    <row r="296" collapsed="1" ht="21.5" customHeight="1">
      <c r="A296" s="27" t="inlineStr">
        <is>
          <t xml:space="preserve">TOTAL OF ALL FUNDS : </t>
        </is>
      </c>
      <c r="B296" s="45" t="n"/>
      <c r="C296" s="45" t="n"/>
      <c r="D296" s="40" t="n"/>
      <c r="E296" s="17" t="inlineStr">
        <is>
          <t>RM</t>
        </is>
      </c>
      <c r="F296" s="46">
        <f>SUM(F8:F254)</f>
        <v/>
      </c>
      <c r="G296" s="46">
        <f>SUM(G8:G254)</f>
        <v/>
      </c>
      <c r="H296" s="26" t="n"/>
      <c r="I296" s="40" t="n"/>
      <c r="J296" s="17" t="inlineStr">
        <is>
          <t>RM</t>
        </is>
      </c>
      <c r="K296" s="46">
        <f>SUM(K8:K254)</f>
        <v/>
      </c>
      <c r="L296" s="17" t="inlineStr">
        <is>
          <t>RM</t>
        </is>
      </c>
      <c r="M296" s="46">
        <f>SUM(M8:M254)</f>
        <v/>
      </c>
      <c r="N296" s="26" t="n"/>
      <c r="O296" s="17" t="inlineStr">
        <is>
          <t>RM</t>
        </is>
      </c>
      <c r="P296" s="25">
        <f>SUM(P8:P254)</f>
        <v/>
      </c>
      <c r="Q296" s="26" t="n"/>
    </row>
    <row r="298" ht="22" customHeight="1">
      <c r="B298" s="32" t="inlineStr">
        <is>
          <t xml:space="preserve">KLCI : </t>
        </is>
      </c>
      <c r="D298" s="8" t="n"/>
    </row>
    <row r="299" ht="9" customHeight="1">
      <c r="B299" s="9" t="n"/>
      <c r="C299" s="32" t="n"/>
    </row>
    <row r="300" ht="16" customHeight="1">
      <c r="A300" s="38" t="inlineStr">
        <is>
          <t xml:space="preserve"> Unit Trust Managing Adviser Name : NG CHOON LING (Contact No : 016 - 229 1593 / 012 - 665 3000)</t>
        </is>
      </c>
    </row>
    <row r="301" ht="16" customHeight="1">
      <c r="A301" s="10" t="inlineStr">
        <is>
          <t>                                                    </t>
        </is>
      </c>
      <c r="B301" s="11" t="n"/>
      <c r="C301" s="10" t="n"/>
      <c r="D301" s="11" t="n"/>
    </row>
  </sheetData>
  <mergeCells count="400">
    <mergeCell ref="J280:J291"/>
    <mergeCell ref="K26:K27"/>
    <mergeCell ref="B183:B194"/>
    <mergeCell ref="L280:L291"/>
    <mergeCell ref="D21:D22"/>
    <mergeCell ref="K156:K167"/>
    <mergeCell ref="M156:M167"/>
    <mergeCell ref="E115:E126"/>
    <mergeCell ref="G115:G126"/>
    <mergeCell ref="B23:B24"/>
    <mergeCell ref="D241:D252"/>
    <mergeCell ref="F241:F252"/>
    <mergeCell ref="B61:B64"/>
    <mergeCell ref="D61:D64"/>
    <mergeCell ref="H69:H72"/>
    <mergeCell ref="N79:N90"/>
    <mergeCell ref="F13:F14"/>
    <mergeCell ref="H13:H14"/>
    <mergeCell ref="A183:A194"/>
    <mergeCell ref="C183:C194"/>
    <mergeCell ref="C228:C231"/>
    <mergeCell ref="I103:I114"/>
    <mergeCell ref="C241:C252"/>
    <mergeCell ref="E241:E252"/>
    <mergeCell ref="A6:B7"/>
    <mergeCell ref="J73:J74"/>
    <mergeCell ref="H23:H24"/>
    <mergeCell ref="B26:B27"/>
    <mergeCell ref="J23:J24"/>
    <mergeCell ref="G210:G221"/>
    <mergeCell ref="A210:A221"/>
    <mergeCell ref="E13:E14"/>
    <mergeCell ref="I38:I49"/>
    <mergeCell ref="G13:G14"/>
    <mergeCell ref="A38:A49"/>
    <mergeCell ref="K38:K49"/>
    <mergeCell ref="C38:C49"/>
    <mergeCell ref="D75:D76"/>
    <mergeCell ref="F75:F76"/>
    <mergeCell ref="F103:F114"/>
    <mergeCell ref="H103:H114"/>
    <mergeCell ref="G73:G74"/>
    <mergeCell ref="F168:F179"/>
    <mergeCell ref="I73:I74"/>
    <mergeCell ref="H168:H179"/>
    <mergeCell ref="I256:I267"/>
    <mergeCell ref="K256:K267"/>
    <mergeCell ref="M65:M68"/>
    <mergeCell ref="B69:B72"/>
    <mergeCell ref="E228:E231"/>
    <mergeCell ref="J21:J22"/>
    <mergeCell ref="L21:L22"/>
    <mergeCell ref="B133:B136"/>
    <mergeCell ref="D133:D136"/>
    <mergeCell ref="D26:D27"/>
    <mergeCell ref="J6:K7"/>
    <mergeCell ref="J61:J64"/>
    <mergeCell ref="L156:L167"/>
    <mergeCell ref="F115:F126"/>
    <mergeCell ref="H115:H126"/>
    <mergeCell ref="A69:A72"/>
    <mergeCell ref="K228:K231"/>
    <mergeCell ref="A280:A291"/>
    <mergeCell ref="H91:H102"/>
    <mergeCell ref="B91:B102"/>
    <mergeCell ref="B156:B167"/>
    <mergeCell ref="J26:J27"/>
    <mergeCell ref="L26:L27"/>
    <mergeCell ref="I210:I221"/>
    <mergeCell ref="K73:K74"/>
    <mergeCell ref="C79:C90"/>
    <mergeCell ref="I23:I24"/>
    <mergeCell ref="B38:B49"/>
    <mergeCell ref="N195:N206"/>
    <mergeCell ref="J69:J72"/>
    <mergeCell ref="E168:E179"/>
    <mergeCell ref="H73:H74"/>
    <mergeCell ref="G168:G179"/>
    <mergeCell ref="B228:B231"/>
    <mergeCell ref="I183:I194"/>
    <mergeCell ref="I21:I22"/>
    <mergeCell ref="K183:K194"/>
    <mergeCell ref="A133:A136"/>
    <mergeCell ref="M228:M231"/>
    <mergeCell ref="C133:C136"/>
    <mergeCell ref="N115:N126"/>
    <mergeCell ref="E79:E90"/>
    <mergeCell ref="K241:K252"/>
    <mergeCell ref="K23:K24"/>
    <mergeCell ref="M241:M252"/>
    <mergeCell ref="B65:B68"/>
    <mergeCell ref="B129:B132"/>
    <mergeCell ref="D129:D132"/>
    <mergeCell ref="J19:J20"/>
    <mergeCell ref="L19:L20"/>
    <mergeCell ref="L75:L76"/>
    <mergeCell ref="J228:J231"/>
    <mergeCell ref="N75:N76"/>
    <mergeCell ref="A61:A64"/>
    <mergeCell ref="A91:A102"/>
    <mergeCell ref="O4:Q4"/>
    <mergeCell ref="N103:N114"/>
    <mergeCell ref="B79:B90"/>
    <mergeCell ref="A156:A167"/>
    <mergeCell ref="D79:D90"/>
    <mergeCell ref="N168:N179"/>
    <mergeCell ref="L241:L252"/>
    <mergeCell ref="N241:N252"/>
    <mergeCell ref="I26:I27"/>
    <mergeCell ref="N210:N221"/>
    <mergeCell ref="F210:F221"/>
    <mergeCell ref="A65:A68"/>
    <mergeCell ref="C65:C68"/>
    <mergeCell ref="F256:F267"/>
    <mergeCell ref="L133:L136"/>
    <mergeCell ref="D195:D206"/>
    <mergeCell ref="M168:M179"/>
    <mergeCell ref="I69:I72"/>
    <mergeCell ref="K69:K72"/>
    <mergeCell ref="L228:L231"/>
    <mergeCell ref="N228:N231"/>
    <mergeCell ref="C6:C7"/>
    <mergeCell ref="I133:I136"/>
    <mergeCell ref="K133:K136"/>
    <mergeCell ref="J91:J102"/>
    <mergeCell ref="H183:H194"/>
    <mergeCell ref="J183:J194"/>
    <mergeCell ref="C268:C279"/>
    <mergeCell ref="E268:E279"/>
    <mergeCell ref="C195:C206"/>
    <mergeCell ref="E195:E206"/>
    <mergeCell ref="M115:M126"/>
    <mergeCell ref="H256:H267"/>
    <mergeCell ref="J65:J68"/>
    <mergeCell ref="L129:L132"/>
    <mergeCell ref="A296:D296"/>
    <mergeCell ref="N280:N291"/>
    <mergeCell ref="N13:N14"/>
    <mergeCell ref="F280:F291"/>
    <mergeCell ref="H280:H291"/>
    <mergeCell ref="A129:A132"/>
    <mergeCell ref="C129:C132"/>
    <mergeCell ref="G156:G167"/>
    <mergeCell ref="I156:I167"/>
    <mergeCell ref="I19:I20"/>
    <mergeCell ref="A19:A20"/>
    <mergeCell ref="C115:C126"/>
    <mergeCell ref="K19:K20"/>
    <mergeCell ref="C19:C20"/>
    <mergeCell ref="G75:G76"/>
    <mergeCell ref="J79:J90"/>
    <mergeCell ref="C73:C74"/>
    <mergeCell ref="E256:E267"/>
    <mergeCell ref="P1:Q1"/>
    <mergeCell ref="F21:F22"/>
    <mergeCell ref="A241:A252"/>
    <mergeCell ref="Q6:Q7"/>
    <mergeCell ref="F23:F24"/>
    <mergeCell ref="M75:M76"/>
    <mergeCell ref="A13:A14"/>
    <mergeCell ref="E3:J3"/>
    <mergeCell ref="J133:J136"/>
    <mergeCell ref="M268:M279"/>
    <mergeCell ref="I91:I102"/>
    <mergeCell ref="K91:K102"/>
    <mergeCell ref="B75:B76"/>
    <mergeCell ref="L79:L90"/>
    <mergeCell ref="B103:B114"/>
    <mergeCell ref="D103:D114"/>
    <mergeCell ref="B168:B179"/>
    <mergeCell ref="D268:D279"/>
    <mergeCell ref="D168:D179"/>
    <mergeCell ref="G256:G267"/>
    <mergeCell ref="I65:I68"/>
    <mergeCell ref="K65:K68"/>
    <mergeCell ref="A228:A231"/>
    <mergeCell ref="I129:I132"/>
    <mergeCell ref="H21:H22"/>
    <mergeCell ref="K129:K132"/>
    <mergeCell ref="M129:M132"/>
    <mergeCell ref="G280:G291"/>
    <mergeCell ref="N61:N64"/>
    <mergeCell ref="I280:I291"/>
    <mergeCell ref="H61:H64"/>
    <mergeCell ref="H156:H167"/>
    <mergeCell ref="J156:J167"/>
    <mergeCell ref="B115:B126"/>
    <mergeCell ref="B19:B20"/>
    <mergeCell ref="D115:D126"/>
    <mergeCell ref="H7:I7"/>
    <mergeCell ref="H65:H68"/>
    <mergeCell ref="C13:C14"/>
    <mergeCell ref="F91:F102"/>
    <mergeCell ref="F268:F279"/>
    <mergeCell ref="K195:K206"/>
    <mergeCell ref="M195:M206"/>
    <mergeCell ref="H26:H27"/>
    <mergeCell ref="K210:K221"/>
    <mergeCell ref="A115:A126"/>
    <mergeCell ref="M210:M221"/>
    <mergeCell ref="E73:E74"/>
    <mergeCell ref="B241:B252"/>
    <mergeCell ref="E23:E24"/>
    <mergeCell ref="B280:B291"/>
    <mergeCell ref="B13:B14"/>
    <mergeCell ref="D280:D291"/>
    <mergeCell ref="D13:D14"/>
    <mergeCell ref="L268:L279"/>
    <mergeCell ref="J195:J206"/>
    <mergeCell ref="N268:N279"/>
    <mergeCell ref="L195:L206"/>
    <mergeCell ref="K79:K90"/>
    <mergeCell ref="M79:M90"/>
    <mergeCell ref="A103:A114"/>
    <mergeCell ref="C103:C114"/>
    <mergeCell ref="A168:A179"/>
    <mergeCell ref="B298:C298"/>
    <mergeCell ref="D73:D74"/>
    <mergeCell ref="C168:C179"/>
    <mergeCell ref="F73:F74"/>
    <mergeCell ref="E21:E22"/>
    <mergeCell ref="G21:G22"/>
    <mergeCell ref="J129:J132"/>
    <mergeCell ref="J115:J126"/>
    <mergeCell ref="L115:L126"/>
    <mergeCell ref="G23:G24"/>
    <mergeCell ref="I241:I252"/>
    <mergeCell ref="E6:F7"/>
    <mergeCell ref="G61:G64"/>
    <mergeCell ref="I61:I64"/>
    <mergeCell ref="M13:M14"/>
    <mergeCell ref="L183:L194"/>
    <mergeCell ref="H19:H20"/>
    <mergeCell ref="F228:F231"/>
    <mergeCell ref="H228:H231"/>
    <mergeCell ref="M21:M22"/>
    <mergeCell ref="L103:L114"/>
    <mergeCell ref="H241:H252"/>
    <mergeCell ref="B195:B206"/>
    <mergeCell ref="E26:E27"/>
    <mergeCell ref="M23:M24"/>
    <mergeCell ref="G26:G27"/>
    <mergeCell ref="J210:J221"/>
    <mergeCell ref="B210:B221"/>
    <mergeCell ref="L210:L221"/>
    <mergeCell ref="D210:D221"/>
    <mergeCell ref="L38:L49"/>
    <mergeCell ref="D23:D24"/>
    <mergeCell ref="N38:N49"/>
    <mergeCell ref="F38:F49"/>
    <mergeCell ref="I75:I76"/>
    <mergeCell ref="K75:K76"/>
    <mergeCell ref="A300:K300"/>
    <mergeCell ref="K103:K114"/>
    <mergeCell ref="I168:I179"/>
    <mergeCell ref="K268:K279"/>
    <mergeCell ref="K168:K179"/>
    <mergeCell ref="N256:N267"/>
    <mergeCell ref="M69:M72"/>
    <mergeCell ref="E69:E72"/>
    <mergeCell ref="G69:G72"/>
    <mergeCell ref="G6:G7"/>
    <mergeCell ref="M133:M136"/>
    <mergeCell ref="E133:E136"/>
    <mergeCell ref="G133:G136"/>
    <mergeCell ref="A1:M1"/>
    <mergeCell ref="D183:D194"/>
    <mergeCell ref="F183:F194"/>
    <mergeCell ref="O6:P7"/>
    <mergeCell ref="A268:A279"/>
    <mergeCell ref="A195:A206"/>
    <mergeCell ref="I115:I126"/>
    <mergeCell ref="K115:K126"/>
    <mergeCell ref="J241:J252"/>
    <mergeCell ref="F61:F64"/>
    <mergeCell ref="D6:D7"/>
    <mergeCell ref="J13:J14"/>
    <mergeCell ref="L13:L14"/>
    <mergeCell ref="M91:M102"/>
    <mergeCell ref="E183:E194"/>
    <mergeCell ref="E19:E20"/>
    <mergeCell ref="G183:G194"/>
    <mergeCell ref="G19:G20"/>
    <mergeCell ref="A75:A76"/>
    <mergeCell ref="C75:C76"/>
    <mergeCell ref="H6:I6"/>
    <mergeCell ref="M103:M114"/>
    <mergeCell ref="G241:G252"/>
    <mergeCell ref="A79:A90"/>
    <mergeCell ref="L73:L74"/>
    <mergeCell ref="N73:N74"/>
    <mergeCell ref="L23:L24"/>
    <mergeCell ref="N23:N24"/>
    <mergeCell ref="C210:C221"/>
    <mergeCell ref="E210:E221"/>
    <mergeCell ref="A256:A267"/>
    <mergeCell ref="I13:I14"/>
    <mergeCell ref="K13:K14"/>
    <mergeCell ref="E38:E49"/>
    <mergeCell ref="G38:G49"/>
    <mergeCell ref="O3:Q3"/>
    <mergeCell ref="D19:D20"/>
    <mergeCell ref="F19:F20"/>
    <mergeCell ref="M19:M20"/>
    <mergeCell ref="J103:J114"/>
    <mergeCell ref="J168:J179"/>
    <mergeCell ref="M73:M74"/>
    <mergeCell ref="L168:L179"/>
    <mergeCell ref="D69:D72"/>
    <mergeCell ref="F69:F72"/>
    <mergeCell ref="G228:G231"/>
    <mergeCell ref="I228:I231"/>
    <mergeCell ref="N183:N194"/>
    <mergeCell ref="N21:N22"/>
    <mergeCell ref="F133:F136"/>
    <mergeCell ref="H133:H136"/>
    <mergeCell ref="E91:E102"/>
    <mergeCell ref="G91:G102"/>
    <mergeCell ref="F26:F27"/>
    <mergeCell ref="L6:M7"/>
    <mergeCell ref="C256:C267"/>
    <mergeCell ref="E65:E68"/>
    <mergeCell ref="G65:G68"/>
    <mergeCell ref="G129:G132"/>
    <mergeCell ref="C280:C291"/>
    <mergeCell ref="E280:E291"/>
    <mergeCell ref="L61:L64"/>
    <mergeCell ref="D91:D102"/>
    <mergeCell ref="D156:D167"/>
    <mergeCell ref="F156:F167"/>
    <mergeCell ref="N26:N27"/>
    <mergeCell ref="D65:D68"/>
    <mergeCell ref="F65:F68"/>
    <mergeCell ref="B268:B279"/>
    <mergeCell ref="A26:A27"/>
    <mergeCell ref="D38:D49"/>
    <mergeCell ref="I195:I206"/>
    <mergeCell ref="A21:A22"/>
    <mergeCell ref="L69:L72"/>
    <mergeCell ref="N69:N72"/>
    <mergeCell ref="A23:A24"/>
    <mergeCell ref="N6:N7"/>
    <mergeCell ref="H75:H76"/>
    <mergeCell ref="N133:N136"/>
    <mergeCell ref="M183:M194"/>
    <mergeCell ref="E4:J4"/>
    <mergeCell ref="H268:H279"/>
    <mergeCell ref="F195:F206"/>
    <mergeCell ref="J268:J279"/>
    <mergeCell ref="G79:G90"/>
    <mergeCell ref="I79:I90"/>
    <mergeCell ref="B73:B74"/>
    <mergeCell ref="B256:B267"/>
    <mergeCell ref="D256:D267"/>
    <mergeCell ref="K280:K291"/>
    <mergeCell ref="M38:M49"/>
    <mergeCell ref="M280:M291"/>
    <mergeCell ref="C21:C22"/>
    <mergeCell ref="F129:F132"/>
    <mergeCell ref="H129:H132"/>
    <mergeCell ref="N19:N20"/>
    <mergeCell ref="C23:C24"/>
    <mergeCell ref="K61:K64"/>
    <mergeCell ref="J75:J76"/>
    <mergeCell ref="C61:C64"/>
    <mergeCell ref="M61:M64"/>
    <mergeCell ref="E61:E64"/>
    <mergeCell ref="C156:C167"/>
    <mergeCell ref="F79:F90"/>
    <mergeCell ref="E156:E167"/>
    <mergeCell ref="H79:H90"/>
    <mergeCell ref="M26:M27"/>
    <mergeCell ref="J256:J267"/>
    <mergeCell ref="B21:B22"/>
    <mergeCell ref="E129:E132"/>
    <mergeCell ref="D228:D231"/>
    <mergeCell ref="K21:K22"/>
    <mergeCell ref="H195:H206"/>
    <mergeCell ref="M256:M267"/>
    <mergeCell ref="C26:C27"/>
    <mergeCell ref="H210:H221"/>
    <mergeCell ref="H38:H49"/>
    <mergeCell ref="J38:J49"/>
    <mergeCell ref="L91:L102"/>
    <mergeCell ref="N91:N102"/>
    <mergeCell ref="H296:I296"/>
    <mergeCell ref="E75:E76"/>
    <mergeCell ref="N156:N167"/>
    <mergeCell ref="E103:E114"/>
    <mergeCell ref="G103:G114"/>
    <mergeCell ref="G268:G279"/>
    <mergeCell ref="I268:I279"/>
    <mergeCell ref="G195:G206"/>
    <mergeCell ref="L256:L267"/>
    <mergeCell ref="L65:L68"/>
    <mergeCell ref="N65:N68"/>
    <mergeCell ref="C69:C72"/>
    <mergeCell ref="A73:A74"/>
    <mergeCell ref="C91:C102"/>
    <mergeCell ref="N129:N132"/>
  </mergeCells>
  <pageMargins left="0.7" right="0.7" top="0.75" bottom="0.75" header="0.3" footer="0.3"/>
  <pageSetup orientation="landscape" paperSize="9" scale="82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Darren Yap</dc:creator>
  <dcterms:created xsi:type="dcterms:W3CDTF">2026-05-30T18:20:51Z</dcterms:created>
  <dcterms:modified xsi:type="dcterms:W3CDTF">2026-07-24T15:34:27Z</dcterms:modified>
  <cp:lastModifiedBy>Darren Yap</cp:lastModifiedBy>
  <cp:lastPrinted>2026-06-07T15:13:19Z</cp:lastPrinted>
</cp:coreProperties>
</file>