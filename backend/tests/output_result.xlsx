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00"/>
    <numFmt numFmtId="165" formatCode="#,##0.00;-#,##0.00;&quot;-&quot;"/>
    <numFmt numFmtId="166" formatCode="#,##0.0000;-#,##0.0000;&quot;-&quot;"/>
    <numFmt numFmtId="167" formatCode="0.00%;-0.00%;&quot;-&quot;"/>
    <numFmt numFmtId="168" formatCode="0.0000;-0.0000;&quot;-&quot;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0"/>
    </font>
    <font>
      <name val="Calibri"/>
      <color rgb="00333333"/>
      <sz val="10"/>
    </font>
    <font>
      <name val="Calibri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4" fontId="4" fillId="3" borderId="1" pivotButton="0" quotePrefix="0" xfId="0"/>
    <xf numFmtId="0" fontId="3" fillId="3" borderId="1" applyAlignment="1" pivotButton="0" quotePrefix="0" xfId="0">
      <alignment horizontal="left"/>
    </xf>
    <xf numFmtId="4" fontId="4" fillId="3" borderId="1" pivotButton="0" quotePrefix="0" xfId="0"/>
    <xf numFmtId="10" fontId="4" fillId="3" borderId="1" pivotButton="0" quotePrefix="0" xfId="0"/>
    <xf numFmtId="0" fontId="3" fillId="0" borderId="1" pivotButton="0" quotePrefix="0" xfId="0"/>
    <xf numFmtId="164" fontId="4" fillId="0" borderId="1" pivotButton="0" quotePrefix="0" xfId="0"/>
    <xf numFmtId="0" fontId="3" fillId="0" borderId="1" applyAlignment="1" pivotButton="0" quotePrefix="0" xfId="0">
      <alignment horizontal="left"/>
    </xf>
    <xf numFmtId="4" fontId="4" fillId="0" borderId="1" pivotButton="0" quotePrefix="0" xfId="0"/>
    <xf numFmtId="10" fontId="4" fillId="0" borderId="1" pivotButton="0" quotePrefix="0" xfId="0"/>
    <xf numFmtId="166" fontId="4" fillId="3" borderId="1" pivotButton="0" quotePrefix="0" xfId="0"/>
    <xf numFmtId="165" fontId="3" fillId="3" borderId="1" pivotButton="0" quotePrefix="0" xfId="0"/>
    <xf numFmtId="166" fontId="3" fillId="3" borderId="1" pivotButton="0" quotePrefix="0" xfId="0"/>
    <xf numFmtId="165" fontId="4" fillId="3" borderId="1" pivotButton="0" quotePrefix="0" xfId="0"/>
    <xf numFmtId="167" fontId="4" fillId="3" borderId="1" pivotButton="0" quotePrefix="0" xfId="0"/>
    <xf numFmtId="168" fontId="3" fillId="3" borderId="1" pivotButton="0" quotePrefix="0" xfId="0"/>
    <xf numFmtId="166" fontId="4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5" fontId="4" fillId="0" borderId="1" pivotButton="0" quotePrefix="0" xfId="0"/>
    <xf numFmtId="167" fontId="4" fillId="0" borderId="1" pivotButton="0" quotePrefix="0" xfId="0"/>
    <xf numFmtId="168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"/>
  <sheetViews>
    <sheetView showGridLines="1"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3" customWidth="1" min="4" max="4"/>
    <col width="18" customWidth="1" min="5" max="5"/>
    <col width="24" customWidth="1" min="6" max="6"/>
    <col width="25" customWidth="1" min="7" max="7"/>
    <col width="17" customWidth="1" min="8" max="8"/>
    <col width="12" customWidth="1" min="9" max="9"/>
    <col width="49" customWidth="1" min="10" max="10"/>
    <col width="16" customWidth="1" min="11" max="11"/>
    <col width="16" customWidth="1" min="12" max="12"/>
    <col width="13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/>
    <row r="2">
      <c r="A2" s="1" t="inlineStr">
        <is>
          <t>MANULIFE CUSTOMER INVESTMENT SUMMARY</t>
        </is>
      </c>
    </row>
    <row r="3"/>
    <row r="4"/>
    <row r="5" ht="28" customHeight="1">
      <c r="A5" s="2" t="inlineStr">
        <is>
          <t>Date</t>
        </is>
      </c>
      <c r="B5" s="2" t="inlineStr">
        <is>
          <t>AVERAGE COST</t>
        </is>
      </c>
      <c r="C5" s="2" t="inlineStr">
        <is>
          <t>Joint Holder</t>
        </is>
      </c>
      <c r="D5" s="2" t="inlineStr">
        <is>
          <t>Account No</t>
        </is>
      </c>
      <c r="E5" s="2" t="inlineStr">
        <is>
          <t>Investment Type</t>
        </is>
      </c>
      <c r="F5" s="2" t="inlineStr">
        <is>
          <t>TOTAL AMOUNT INVESTED</t>
        </is>
      </c>
      <c r="G5" s="2" t="inlineStr">
        <is>
          <t>TOTAL UNIT ACCUMULATED</t>
        </is>
      </c>
      <c r="H5" s="2" t="inlineStr">
        <is>
          <t>Account Holder</t>
        </is>
      </c>
      <c r="I5" s="2" t="inlineStr">
        <is>
          <t>NAV AS AT</t>
        </is>
      </c>
      <c r="J5" s="2" t="inlineStr">
        <is>
          <t>Fund Name</t>
        </is>
      </c>
      <c r="K5" s="2" t="inlineStr">
        <is>
          <t>CURRENT VALUE</t>
        </is>
      </c>
      <c r="L5" s="2" t="inlineStr">
        <is>
          <t>PROFIT &amp; LOSS</t>
        </is>
      </c>
      <c r="M5" s="2" t="inlineStr">
        <is>
          <t>PERCENTAGE</t>
        </is>
      </c>
      <c r="N5" s="2" t="inlineStr">
        <is>
          <t>Jan</t>
        </is>
      </c>
      <c r="O5" s="2" t="inlineStr">
        <is>
          <t>Feb</t>
        </is>
      </c>
      <c r="P5" s="2" t="inlineStr">
        <is>
          <t>Mar</t>
        </is>
      </c>
      <c r="Q5" s="2" t="inlineStr">
        <is>
          <t>Apr</t>
        </is>
      </c>
      <c r="R5" s="2" t="inlineStr">
        <is>
          <t>May</t>
        </is>
      </c>
      <c r="S5" s="2" t="inlineStr">
        <is>
          <t>Jun</t>
        </is>
      </c>
      <c r="T5" s="2" t="inlineStr">
        <is>
          <t>Jul</t>
        </is>
      </c>
      <c r="U5" s="2" t="inlineStr">
        <is>
          <t>Aug</t>
        </is>
      </c>
      <c r="V5" s="2" t="inlineStr">
        <is>
          <t>Sep</t>
        </is>
      </c>
      <c r="W5" s="2" t="inlineStr">
        <is>
          <t>Oct</t>
        </is>
      </c>
      <c r="X5" s="2" t="inlineStr">
        <is>
          <t>Nov</t>
        </is>
      </c>
      <c r="Y5" s="2" t="inlineStr">
        <is>
          <t>Dec</t>
        </is>
      </c>
    </row>
    <row r="6">
      <c r="A6" s="3" t="inlineStr">
        <is>
          <t>01/01/2026 to 31/12/2026</t>
        </is>
      </c>
      <c r="B6" s="13">
        <f>F6/G6</f>
        <v/>
      </c>
      <c r="C6" s="3" t="inlineStr">
        <is>
          <t>Melissa Lim</t>
        </is>
      </c>
      <c r="D6" s="3" t="inlineStr">
        <is>
          <t>987654321</t>
        </is>
      </c>
      <c r="E6" s="3" t="inlineStr">
        <is>
          <t>Cash</t>
        </is>
      </c>
      <c r="F6" s="14" t="n">
        <v>4800</v>
      </c>
      <c r="G6" s="14" t="n">
        <v>10000</v>
      </c>
      <c r="H6" s="3" t="inlineStr">
        <is>
          <t>Darren Tan</t>
        </is>
      </c>
      <c r="I6" s="15" t="n">
        <v>0.52</v>
      </c>
      <c r="J6" s="5" t="inlineStr">
        <is>
          <t>Manulife Asia-Pacific REIT Fund</t>
        </is>
      </c>
      <c r="K6" s="16">
        <f>G6*I6</f>
        <v/>
      </c>
      <c r="L6" s="16">
        <f>K6-F6</f>
        <v/>
      </c>
      <c r="M6" s="17">
        <f>L6/F6</f>
        <v/>
      </c>
      <c r="N6" s="18" t="n">
        <v>100</v>
      </c>
      <c r="O6" s="3" t="n"/>
      <c r="P6" s="18" t="n">
        <v>1015</v>
      </c>
      <c r="Q6" s="18" t="n">
        <v>0.015</v>
      </c>
      <c r="R6" s="3" t="n"/>
      <c r="S6" s="3" t="n"/>
      <c r="T6" s="3" t="n"/>
      <c r="U6" s="18" t="n">
        <v>350</v>
      </c>
      <c r="V6" s="3" t="n"/>
      <c r="W6" s="18" t="n">
        <v>0.02</v>
      </c>
      <c r="X6" s="3" t="n"/>
      <c r="Y6" s="3" t="n"/>
    </row>
    <row r="7">
      <c r="A7" s="8" t="inlineStr">
        <is>
          <t>01/01/2026 to 31/12/2026</t>
        </is>
      </c>
      <c r="B7" s="19">
        <f>F7/G7</f>
        <v/>
      </c>
      <c r="C7" s="8" t="inlineStr">
        <is>
          <t>Melissa Lim</t>
        </is>
      </c>
      <c r="D7" s="8" t="inlineStr">
        <is>
          <t>987654321</t>
        </is>
      </c>
      <c r="E7" s="8" t="inlineStr">
        <is>
          <t>Cash</t>
        </is>
      </c>
      <c r="F7" s="20" t="n">
        <v>5300</v>
      </c>
      <c r="G7" s="20" t="n">
        <v>5000</v>
      </c>
      <c r="H7" s="8" t="inlineStr">
        <is>
          <t>Darren Tan</t>
        </is>
      </c>
      <c r="I7" s="21" t="n">
        <v>1.1</v>
      </c>
      <c r="J7" s="10" t="inlineStr">
        <is>
          <t>Manulife Global Managed Fund</t>
        </is>
      </c>
      <c r="K7" s="22">
        <f>G7*I7</f>
        <v/>
      </c>
      <c r="L7" s="22">
        <f>K7-F7</f>
        <v/>
      </c>
      <c r="M7" s="23">
        <f>L7/F7</f>
        <v/>
      </c>
      <c r="N7" s="8" t="n"/>
      <c r="O7" s="8" t="n"/>
      <c r="P7" s="8" t="n"/>
      <c r="Q7" s="8" t="n"/>
      <c r="R7" s="8" t="n"/>
      <c r="S7" s="24" t="n">
        <v>0.05</v>
      </c>
      <c r="T7" s="8" t="n"/>
      <c r="U7" s="8" t="n"/>
      <c r="V7" s="8" t="n"/>
      <c r="W7" s="8" t="n"/>
      <c r="X7" s="8" t="n"/>
      <c r="Y7" s="8" t="n"/>
    </row>
    <row r="8">
      <c r="A8" s="3" t="inlineStr">
        <is>
          <t>01/01/2026 to 31/12/2026</t>
        </is>
      </c>
      <c r="B8" s="13">
        <f>F8/G8</f>
        <v/>
      </c>
      <c r="C8" s="3" t="inlineStr">
        <is>
          <t>Melissa Lim</t>
        </is>
      </c>
      <c r="D8" s="3" t="inlineStr">
        <is>
          <t>987654321</t>
        </is>
      </c>
      <c r="E8" s="3" t="inlineStr">
        <is>
          <t>Cash</t>
        </is>
      </c>
      <c r="F8" s="14" t="n">
        <v>3800</v>
      </c>
      <c r="G8" s="14" t="n">
        <v>0</v>
      </c>
      <c r="H8" s="3" t="inlineStr">
        <is>
          <t>Darren Tan</t>
        </is>
      </c>
      <c r="I8" s="15" t="n">
        <v>0</v>
      </c>
      <c r="J8" s="5" t="inlineStr">
        <is>
          <t>Manulife Investment Shariah Progress-Plus Fund</t>
        </is>
      </c>
      <c r="K8" s="16">
        <f>G8*I8</f>
        <v/>
      </c>
      <c r="L8" s="16">
        <f>K8-F8</f>
        <v/>
      </c>
      <c r="M8" s="17">
        <f>L8/F8</f>
        <v/>
      </c>
      <c r="N8" s="18" t="n">
        <v>0.03</v>
      </c>
      <c r="O8" s="3" t="n"/>
      <c r="P8" s="3" t="n"/>
      <c r="Q8" s="3" t="n"/>
      <c r="R8" s="18" t="n">
        <v>1470</v>
      </c>
      <c r="S8" s="3" t="n"/>
      <c r="T8" s="3" t="n"/>
      <c r="U8" s="3" t="n"/>
      <c r="V8" s="3" t="n"/>
      <c r="W8" s="3" t="n"/>
      <c r="X8" s="3" t="n"/>
      <c r="Y8" s="3" t="n"/>
    </row>
    <row r="9">
      <c r="A9" s="8" t="n"/>
      <c r="B9" s="9">
        <f>F9/G9</f>
        <v/>
      </c>
      <c r="C9" s="8" t="n"/>
      <c r="D9" s="8" t="n"/>
      <c r="E9" s="8" t="n"/>
      <c r="F9" s="8" t="n"/>
      <c r="G9" s="8" t="n"/>
      <c r="H9" s="8" t="n"/>
      <c r="I9" s="8" t="n"/>
      <c r="J9" s="10" t="inlineStr">
        <is>
          <t>Manulife Cash Management Fund</t>
        </is>
      </c>
      <c r="K9" s="11">
        <f>G9*I9</f>
        <v/>
      </c>
      <c r="L9" s="11">
        <f>K9-F9</f>
        <v/>
      </c>
      <c r="M9" s="12">
        <f>L9/F9</f>
        <v/>
      </c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/>
    <row r="11"/>
    <row r="12"/>
    <row r="13"/>
    <row r="14"/>
    <row r="15"/>
  </sheetData>
  <mergeCells count="1">
    <mergeCell ref="A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2026-06-08T05:42:23Z</dcterms:created>
  <dcterms:modified xsi:type="dcterms:W3CDTF">2026-07-24T15:34:42Z</dcterms:modified>
</cp:coreProperties>
</file>