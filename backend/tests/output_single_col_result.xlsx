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0"/>
    <numFmt numFmtId="165" formatCode="#,##0.00;-#,##0.00;&quot;-&quot;"/>
    <numFmt numFmtId="166" formatCode="#,##0.0000;-#,##0.0000;&quot;-&quot;"/>
    <numFmt numFmtId="167" formatCode="0.00%;-0.00%;&quot;-&quot;"/>
  </numFmts>
  <fonts count="5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b val="1"/>
      <color rgb="00FFFFFF"/>
      <sz val="10"/>
    </font>
    <font>
      <name val="Calibri"/>
      <color rgb="00333333"/>
      <sz val="10"/>
    </font>
    <font>
      <name val="Calibri"/>
      <i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4" fontId="4" fillId="3" borderId="1" pivotButton="0" quotePrefix="0" xfId="0"/>
    <xf numFmtId="4" fontId="4" fillId="3" borderId="1" pivotButton="0" quotePrefix="0" xfId="0"/>
    <xf numFmtId="10" fontId="4" fillId="3" borderId="1" pivotButton="0" quotePrefix="0" xfId="0"/>
    <xf numFmtId="0" fontId="3" fillId="0" borderId="1" pivotButton="0" quotePrefix="0" xfId="0"/>
    <xf numFmtId="164" fontId="4" fillId="0" borderId="1" pivotButton="0" quotePrefix="0" xfId="0"/>
    <xf numFmtId="4" fontId="4" fillId="0" borderId="1" pivotButton="0" quotePrefix="0" xfId="0"/>
    <xf numFmtId="10" fontId="4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10" fontId="3" fillId="0" borderId="1" pivotButton="0" quotePrefix="0" xfId="0"/>
    <xf numFmtId="166" fontId="4" fillId="3" borderId="1" pivotButton="0" quotePrefix="0" xfId="0"/>
    <xf numFmtId="165" fontId="3" fillId="3" borderId="1" pivotButton="0" quotePrefix="0" xfId="0"/>
    <xf numFmtId="166" fontId="3" fillId="3" borderId="1" pivotButton="0" quotePrefix="0" xfId="0"/>
    <xf numFmtId="165" fontId="4" fillId="3" borderId="1" pivotButton="0" quotePrefix="0" xfId="0"/>
    <xf numFmtId="167" fontId="4" fillId="3" borderId="1" pivotButton="0" quotePrefix="0" xfId="0"/>
    <xf numFmtId="166" fontId="4" fillId="0" borderId="1" pivotButton="0" quotePrefix="0" xfId="0"/>
    <xf numFmtId="165" fontId="4" fillId="0" borderId="1" pivotButton="0" quotePrefix="0" xfId="0"/>
    <xf numFmtId="167" fontId="4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67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3" customWidth="1" min="4" max="4"/>
    <col width="18" customWidth="1" min="5" max="5"/>
    <col width="24" customWidth="1" min="6" max="6"/>
    <col width="25" customWidth="1" min="7" max="7"/>
    <col width="17" customWidth="1" min="8" max="8"/>
    <col width="12" customWidth="1" min="9" max="9"/>
    <col width="49" customWidth="1" min="10" max="10"/>
    <col width="16" customWidth="1" min="11" max="11"/>
    <col width="10" customWidth="1" min="12" max="12"/>
    <col width="16" customWidth="1" min="13" max="13"/>
    <col width="13" customWidth="1" min="14" max="14"/>
    <col width="10" customWidth="1" min="15" max="15"/>
    <col width="34" customWidth="1" min="16" max="16"/>
    <col width="12" customWidth="1" min="17" max="17"/>
    <col width="10" customWidth="1" min="18" max="18"/>
  </cols>
  <sheetData>
    <row r="1"/>
    <row r="2">
      <c r="A2" s="1" t="inlineStr">
        <is>
          <t>MANULIFE CUSTOMER INVESTMENT SUMMARY (SINGLE COL)</t>
        </is>
      </c>
    </row>
    <row r="3"/>
    <row r="4"/>
    <row r="5">
      <c r="A5" s="2" t="inlineStr">
        <is>
          <t>Date</t>
        </is>
      </c>
      <c r="B5" s="2" t="inlineStr">
        <is>
          <t>AVERAGE COST</t>
        </is>
      </c>
      <c r="C5" s="2" t="inlineStr">
        <is>
          <t>Joint Holder</t>
        </is>
      </c>
      <c r="D5" s="2" t="inlineStr">
        <is>
          <t>Account No</t>
        </is>
      </c>
      <c r="E5" s="2" t="inlineStr">
        <is>
          <t>Investment Type</t>
        </is>
      </c>
      <c r="F5" s="2" t="inlineStr">
        <is>
          <t>TOTAL AMOUNT INVESTED</t>
        </is>
      </c>
      <c r="G5" s="2" t="inlineStr">
        <is>
          <t>TOTAL UNIT ACCUMULATED</t>
        </is>
      </c>
      <c r="H5" s="2" t="inlineStr">
        <is>
          <t>Account Holder</t>
        </is>
      </c>
      <c r="I5" s="2" t="inlineStr">
        <is>
          <t>NAV AS AT</t>
        </is>
      </c>
      <c r="J5" s="2" t="inlineStr">
        <is>
          <t>Fund Name</t>
        </is>
      </c>
      <c r="K5" s="2" t="inlineStr">
        <is>
          <t>CURRENT VALUE</t>
        </is>
      </c>
      <c r="L5" s="2" t="inlineStr"/>
      <c r="M5" s="2" t="inlineStr">
        <is>
          <t>PROFIT &amp; LOSS</t>
        </is>
      </c>
      <c r="N5" s="2" t="inlineStr">
        <is>
          <t>PERCENTAGE</t>
        </is>
      </c>
      <c r="O5" s="2" t="inlineStr"/>
      <c r="P5" s="2" t="inlineStr">
        <is>
          <t>DISTRIBUTION DECLARED THIS YEAR</t>
        </is>
      </c>
      <c r="Q5" s="2" t="inlineStr">
        <is>
          <t>DIS MONTH</t>
        </is>
      </c>
    </row>
    <row r="6"/>
    <row r="7"/>
    <row r="8">
      <c r="A8" s="3" t="inlineStr">
        <is>
          <t>01/01/2026 to 31/12/2026</t>
        </is>
      </c>
      <c r="B8" s="14">
        <f>F8/G8</f>
        <v/>
      </c>
      <c r="C8" s="3" t="inlineStr">
        <is>
          <t>Melissa Lim</t>
        </is>
      </c>
      <c r="D8" s="3" t="inlineStr">
        <is>
          <t>987654321</t>
        </is>
      </c>
      <c r="E8" s="3" t="inlineStr">
        <is>
          <t>Cash</t>
        </is>
      </c>
      <c r="F8" s="15" t="n">
        <v>4800</v>
      </c>
      <c r="G8" s="15" t="n">
        <v>10000</v>
      </c>
      <c r="H8" s="3" t="inlineStr">
        <is>
          <t>Darren Tan</t>
        </is>
      </c>
      <c r="I8" s="16" t="n">
        <v>0.52</v>
      </c>
      <c r="J8" s="3" t="inlineStr">
        <is>
          <t>Manulife Asia-Pacific REIT Fund</t>
        </is>
      </c>
      <c r="K8" s="17">
        <f>G8*I8</f>
        <v/>
      </c>
      <c r="L8" s="3" t="n"/>
      <c r="M8" s="17">
        <f>K8-F8</f>
        <v/>
      </c>
      <c r="N8" s="18">
        <f>M8/F8</f>
        <v/>
      </c>
      <c r="O8" s="3" t="n"/>
      <c r="P8" s="15" t="n">
        <v>350</v>
      </c>
      <c r="Q8" s="3" t="inlineStr">
        <is>
          <t>Aug</t>
        </is>
      </c>
    </row>
    <row r="9">
      <c r="A9" s="7" t="n"/>
      <c r="B9" s="19">
        <f>F9/G9</f>
        <v/>
      </c>
      <c r="C9" s="7" t="n"/>
      <c r="D9" s="7" t="n"/>
      <c r="E9" s="7" t="n"/>
      <c r="F9" s="7" t="n"/>
      <c r="G9" s="7" t="n"/>
      <c r="H9" s="7" t="n"/>
      <c r="I9" s="7" t="n"/>
      <c r="J9" s="7" t="n"/>
      <c r="K9" s="20">
        <f>G9*I9</f>
        <v/>
      </c>
      <c r="L9" s="7" t="n"/>
      <c r="M9" s="20">
        <f>K9-F9</f>
        <v/>
      </c>
      <c r="N9" s="21">
        <f>M9/F9</f>
        <v/>
      </c>
      <c r="O9" s="7" t="n"/>
      <c r="P9" s="7" t="n"/>
      <c r="Q9" s="7" t="inlineStr">
        <is>
          <t>Sep</t>
        </is>
      </c>
    </row>
    <row r="10">
      <c r="A10" s="3" t="n"/>
      <c r="B10" s="14">
        <f>F10/G10</f>
        <v/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17">
        <f>G10*I10</f>
        <v/>
      </c>
      <c r="L10" s="3" t="n"/>
      <c r="M10" s="17">
        <f>K10-F10</f>
        <v/>
      </c>
      <c r="N10" s="18">
        <f>M10/F10</f>
        <v/>
      </c>
      <c r="O10" s="3" t="n"/>
      <c r="P10" s="3" t="n"/>
      <c r="Q10" s="3" t="inlineStr">
        <is>
          <t>Dec</t>
        </is>
      </c>
    </row>
    <row r="11">
      <c r="A11" s="7" t="n"/>
      <c r="B11" s="19">
        <f>F11/G11</f>
        <v/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20">
        <f>G11*I11</f>
        <v/>
      </c>
      <c r="L11" s="7" t="n"/>
      <c r="M11" s="20">
        <f>K11-F11</f>
        <v/>
      </c>
      <c r="N11" s="21">
        <f>M11/F11</f>
        <v/>
      </c>
      <c r="O11" s="7" t="n"/>
      <c r="P11" s="22" t="n">
        <v>100</v>
      </c>
      <c r="Q11" s="7" t="inlineStr">
        <is>
          <t>Jan</t>
        </is>
      </c>
    </row>
    <row r="12">
      <c r="A12" s="3" t="n"/>
      <c r="B12" s="14">
        <f>F12/G12</f>
        <v/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17">
        <f>G12*I12</f>
        <v/>
      </c>
      <c r="L12" s="3" t="n"/>
      <c r="M12" s="17">
        <f>K12-F12</f>
        <v/>
      </c>
      <c r="N12" s="18">
        <f>M12/F12</f>
        <v/>
      </c>
      <c r="O12" s="3" t="n"/>
      <c r="P12" s="3" t="n"/>
      <c r="Q12" s="3" t="inlineStr">
        <is>
          <t>Apr</t>
        </is>
      </c>
    </row>
    <row r="13">
      <c r="A13" s="7" t="n"/>
      <c r="B13" s="19">
        <f>F13/G13</f>
        <v/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20">
        <f>G13*I13</f>
        <v/>
      </c>
      <c r="L13" s="7" t="n"/>
      <c r="M13" s="20">
        <f>K13-F13</f>
        <v/>
      </c>
      <c r="N13" s="21">
        <f>M13/F13</f>
        <v/>
      </c>
      <c r="O13" s="7" t="n"/>
      <c r="P13" s="22" t="n">
        <v>1015</v>
      </c>
      <c r="Q13" s="7" t="inlineStr">
        <is>
          <t>Mar</t>
        </is>
      </c>
    </row>
    <row r="14">
      <c r="A14" s="7" t="inlineStr">
        <is>
          <t>01/01/2026 to 31/12/2026</t>
        </is>
      </c>
      <c r="B14" s="23">
        <f>F14/G14</f>
        <v/>
      </c>
      <c r="C14" s="7" t="inlineStr">
        <is>
          <t>Melissa Lim</t>
        </is>
      </c>
      <c r="D14" s="7" t="inlineStr">
        <is>
          <t>987654321</t>
        </is>
      </c>
      <c r="E14" s="7" t="inlineStr">
        <is>
          <t>Cash</t>
        </is>
      </c>
      <c r="F14" s="22" t="n">
        <v>5300</v>
      </c>
      <c r="G14" s="22" t="n">
        <v>5000</v>
      </c>
      <c r="H14" s="7" t="inlineStr">
        <is>
          <t>Darren Tan</t>
        </is>
      </c>
      <c r="I14" s="23" t="n">
        <v>1.1</v>
      </c>
      <c r="J14" s="7" t="inlineStr">
        <is>
          <t>Manulife Global Managed Fund</t>
        </is>
      </c>
      <c r="K14" s="22">
        <f>G14*I14</f>
        <v/>
      </c>
      <c r="L14" s="7" t="n"/>
      <c r="M14" s="22">
        <f>K14-F14</f>
        <v/>
      </c>
      <c r="N14" s="24">
        <f>M14/F14</f>
        <v/>
      </c>
      <c r="O14" s="7" t="n"/>
      <c r="P14" s="7" t="n"/>
      <c r="Q14" s="7" t="inlineStr">
        <is>
          <t>Jun</t>
        </is>
      </c>
    </row>
    <row r="15">
      <c r="A15" s="7" t="inlineStr">
        <is>
          <t>01/01/2026 to 31/12/2026</t>
        </is>
      </c>
      <c r="B15" s="23">
        <f>F15/G15</f>
        <v/>
      </c>
      <c r="C15" s="7" t="inlineStr">
        <is>
          <t>Melissa Lim</t>
        </is>
      </c>
      <c r="D15" s="7" t="inlineStr">
        <is>
          <t>987654321</t>
        </is>
      </c>
      <c r="E15" s="7" t="inlineStr">
        <is>
          <t>Cash</t>
        </is>
      </c>
      <c r="F15" s="22" t="n">
        <v>3800</v>
      </c>
      <c r="G15" s="22" t="n">
        <v>0</v>
      </c>
      <c r="H15" s="7" t="inlineStr">
        <is>
          <t>Darren Tan</t>
        </is>
      </c>
      <c r="I15" s="23" t="n">
        <v>0</v>
      </c>
      <c r="J15" s="7" t="inlineStr">
        <is>
          <t>Manulife Investment Shariah Progress-Plus Fund</t>
        </is>
      </c>
      <c r="K15" s="22">
        <f>G15*I15</f>
        <v/>
      </c>
      <c r="L15" s="7" t="n"/>
      <c r="M15" s="22">
        <f>K15-F15</f>
        <v/>
      </c>
      <c r="N15" s="24">
        <f>M15/F15</f>
        <v/>
      </c>
      <c r="O15" s="7" t="n"/>
      <c r="P15" s="22" t="n">
        <v>1470</v>
      </c>
      <c r="Q15" s="7" t="inlineStr">
        <is>
          <t>May</t>
        </is>
      </c>
    </row>
  </sheetData>
  <mergeCells count="1">
    <mergeCell ref="A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2026-06-08T05:42:23Z</dcterms:created>
  <dcterms:modified xsi:type="dcterms:W3CDTF">2026-06-08T05:42:24Z</dcterms:modified>
</cp:coreProperties>
</file>